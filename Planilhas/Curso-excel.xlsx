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7"/>
  </bookViews>
  <sheets>
    <sheet name="Aula 05 Selecionando dados" sheetId="1" state="visible" r:id="rId2"/>
    <sheet name="Aula 06 Formatando tabelas" sheetId="2" state="visible" r:id="rId3"/>
    <sheet name="Aula 07 Formatacao de dados" sheetId="3" state="visible" r:id="rId4"/>
    <sheet name="Aula 08 classificacao de dados" sheetId="4" state="visible" r:id="rId5"/>
    <sheet name="Aula 09 Formulas" sheetId="5" state="visible" r:id="rId6"/>
    <sheet name="Aula 10 Funções do excel" sheetId="6" state="visible" r:id="rId7"/>
    <sheet name="Aula 12 Funções condicionais" sheetId="7" state="visible" r:id="rId8"/>
    <sheet name="Aula 13 formatação condicional" sheetId="8" state="visible" r:id="rId9"/>
  </sheets>
  <definedNames>
    <definedName name="Populacao" hidden="0">'Aula 10 Funções do excel'!$C:$C</definedName>
    <definedName name="Estado" hidden="0">'Aula 12 Funções condicionais'!$D:$D</definedName>
    <definedName name="População" hidden="0">'Aula 12 Funções condicionais'!$C:$C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<sst xmlns="http://schemas.openxmlformats.org/spreadsheetml/2006/main" count="204" uniqueCount="204">
  <si>
    <t>Nome</t>
  </si>
  <si>
    <t>Idade</t>
  </si>
  <si>
    <t>Sexo</t>
  </si>
  <si>
    <t>Ana</t>
  </si>
  <si>
    <t>F</t>
  </si>
  <si>
    <t>Claudio</t>
  </si>
  <si>
    <t>M</t>
  </si>
  <si>
    <t>Mauro</t>
  </si>
  <si>
    <t>Paula</t>
  </si>
  <si>
    <t>Daniele</t>
  </si>
  <si>
    <t>Matheus</t>
  </si>
  <si>
    <t>Mariana</t>
  </si>
  <si>
    <t xml:space="preserve">Levantamento Populacional</t>
  </si>
  <si>
    <t>Municipioos</t>
  </si>
  <si>
    <t>Populacao</t>
  </si>
  <si>
    <t xml:space="preserve">Sao Paulo</t>
  </si>
  <si>
    <t xml:space="preserve">Sao jose do rio preto</t>
  </si>
  <si>
    <t xml:space="preserve">LEVANTAMENTO POPULACIONAL</t>
  </si>
  <si>
    <t>Ranking</t>
  </si>
  <si>
    <t>Municipios</t>
  </si>
  <si>
    <t>Estado</t>
  </si>
  <si>
    <t>segunda-feira</t>
  </si>
  <si>
    <t>Jan</t>
  </si>
  <si>
    <t>byte</t>
  </si>
  <si>
    <t xml:space="preserve">São Paulo </t>
  </si>
  <si>
    <t>SP</t>
  </si>
  <si>
    <t>terça-feira</t>
  </si>
  <si>
    <t>Fev</t>
  </si>
  <si>
    <t>kbyte</t>
  </si>
  <si>
    <t xml:space="preserve">Rio de Janeiro </t>
  </si>
  <si>
    <t>RJ</t>
  </si>
  <si>
    <t>quarta-feira</t>
  </si>
  <si>
    <t>Mar</t>
  </si>
  <si>
    <t>megabyte</t>
  </si>
  <si>
    <t xml:space="preserve">Guarulhos </t>
  </si>
  <si>
    <t>quinta-feira</t>
  </si>
  <si>
    <t>Abr</t>
  </si>
  <si>
    <t>gigabyte</t>
  </si>
  <si>
    <t xml:space="preserve">Campinas </t>
  </si>
  <si>
    <t>sexta-feira</t>
  </si>
  <si>
    <t>Mai</t>
  </si>
  <si>
    <t>terabyte</t>
  </si>
  <si>
    <t xml:space="preserve">São Gonçalo </t>
  </si>
  <si>
    <t>sábado</t>
  </si>
  <si>
    <t>Jun</t>
  </si>
  <si>
    <t>petabyte</t>
  </si>
  <si>
    <t xml:space="preserve">Duque de Caxias </t>
  </si>
  <si>
    <t>domingo</t>
  </si>
  <si>
    <t>Jul</t>
  </si>
  <si>
    <t>exabyte</t>
  </si>
  <si>
    <t xml:space="preserve">Nova Iguaçu </t>
  </si>
  <si>
    <t>Ago</t>
  </si>
  <si>
    <t>yottabyte</t>
  </si>
  <si>
    <t xml:space="preserve">São Bernardo do Campo </t>
  </si>
  <si>
    <t>Set</t>
  </si>
  <si>
    <t xml:space="preserve">Osasco </t>
  </si>
  <si>
    <t>Out</t>
  </si>
  <si>
    <t xml:space="preserve">Santo André </t>
  </si>
  <si>
    <t>Nov</t>
  </si>
  <si>
    <t xml:space="preserve">São José dos Campos </t>
  </si>
  <si>
    <t>Dez</t>
  </si>
  <si>
    <t xml:space="preserve">Sorocaba </t>
  </si>
  <si>
    <t xml:space="preserve">Ribeirão Preto </t>
  </si>
  <si>
    <t xml:space="preserve">Belford Roxo </t>
  </si>
  <si>
    <t xml:space="preserve">Niterói </t>
  </si>
  <si>
    <t xml:space="preserve">São João de Meriti </t>
  </si>
  <si>
    <t xml:space="preserve">Campos dos Goytacazes </t>
  </si>
  <si>
    <t xml:space="preserve">Santos </t>
  </si>
  <si>
    <t xml:space="preserve">São José do Rio Preto </t>
  </si>
  <si>
    <t xml:space="preserve">Mauá </t>
  </si>
  <si>
    <t xml:space="preserve">Diadema </t>
  </si>
  <si>
    <t xml:space="preserve">Carapicuíba </t>
  </si>
  <si>
    <t xml:space="preserve">Mogi das Cruzes </t>
  </si>
  <si>
    <t xml:space="preserve">Piracicaba </t>
  </si>
  <si>
    <t xml:space="preserve">Bauru </t>
  </si>
  <si>
    <t xml:space="preserve">Itaquaquecetuba </t>
  </si>
  <si>
    <t xml:space="preserve">Jundiaí </t>
  </si>
  <si>
    <t xml:space="preserve">São Vicente </t>
  </si>
  <si>
    <t xml:space="preserve">Franca </t>
  </si>
  <si>
    <t xml:space="preserve">Petrópolis </t>
  </si>
  <si>
    <t xml:space="preserve">Guarujá </t>
  </si>
  <si>
    <t xml:space="preserve">Suzano </t>
  </si>
  <si>
    <t xml:space="preserve">Limeira </t>
  </si>
  <si>
    <t xml:space="preserve">Taubaté </t>
  </si>
  <si>
    <t xml:space="preserve">Barueri </t>
  </si>
  <si>
    <t xml:space="preserve">Volta Redonda </t>
  </si>
  <si>
    <t xml:space="preserve">Embu </t>
  </si>
  <si>
    <t xml:space="preserve">Praia Grande </t>
  </si>
  <si>
    <t xml:space="preserve">Magé </t>
  </si>
  <si>
    <t xml:space="preserve">Sumaré </t>
  </si>
  <si>
    <t xml:space="preserve">Itaboraí </t>
  </si>
  <si>
    <t xml:space="preserve">Taboão da Serra </t>
  </si>
  <si>
    <t xml:space="preserve">Marília </t>
  </si>
  <si>
    <t xml:space="preserve">São Carlos </t>
  </si>
  <si>
    <t xml:space="preserve">Jacareí </t>
  </si>
  <si>
    <t xml:space="preserve">Presidente Prudente </t>
  </si>
  <si>
    <t xml:space="preserve">Americana </t>
  </si>
  <si>
    <t xml:space="preserve">Itapevi </t>
  </si>
  <si>
    <t xml:space="preserve">Hortolândia </t>
  </si>
  <si>
    <t xml:space="preserve">Araraquara </t>
  </si>
  <si>
    <t xml:space="preserve">Rio Claro </t>
  </si>
  <si>
    <t xml:space="preserve">Macaé </t>
  </si>
  <si>
    <t xml:space="preserve">Mesquita </t>
  </si>
  <si>
    <t xml:space="preserve">Santa Bárbara d'Oeste </t>
  </si>
  <si>
    <t xml:space="preserve">Araçatuba </t>
  </si>
  <si>
    <t xml:space="preserve">Cabo Frio </t>
  </si>
  <si>
    <t xml:space="preserve">Indaiatuba </t>
  </si>
  <si>
    <t xml:space="preserve">Cotia </t>
  </si>
  <si>
    <t xml:space="preserve">Nova Friburgo </t>
  </si>
  <si>
    <t xml:space="preserve">Barra Mansa </t>
  </si>
  <si>
    <t xml:space="preserve">Ferraz de Vasconcelos </t>
  </si>
  <si>
    <t xml:space="preserve">Angra dos Reis </t>
  </si>
  <si>
    <t xml:space="preserve">Teresópolis </t>
  </si>
  <si>
    <t xml:space="preserve">Itapecerica da Serra </t>
  </si>
  <si>
    <t xml:space="preserve">Nilópolis </t>
  </si>
  <si>
    <t xml:space="preserve">Itu </t>
  </si>
  <si>
    <t xml:space="preserve">Francisco Morato </t>
  </si>
  <si>
    <t xml:space="preserve">São Caetano do Sul </t>
  </si>
  <si>
    <t xml:space="preserve">Itapetininga </t>
  </si>
  <si>
    <t xml:space="preserve">Bragança Paulista </t>
  </si>
  <si>
    <t xml:space="preserve">Pindamonhangaba </t>
  </si>
  <si>
    <t xml:space="preserve">Mogi Guaçu </t>
  </si>
  <si>
    <t xml:space="preserve">Queimados </t>
  </si>
  <si>
    <t xml:space="preserve">Jaú </t>
  </si>
  <si>
    <t xml:space="preserve">Franco da Rocha </t>
  </si>
  <si>
    <t xml:space="preserve">Botucatu </t>
  </si>
  <si>
    <t xml:space="preserve">Resende </t>
  </si>
  <si>
    <t xml:space="preserve">Cubatão </t>
  </si>
  <si>
    <t xml:space="preserve">Atibaia </t>
  </si>
  <si>
    <t xml:space="preserve">Maricá </t>
  </si>
  <si>
    <t xml:space="preserve">Catanduva </t>
  </si>
  <si>
    <t xml:space="preserve">Araras </t>
  </si>
  <si>
    <t xml:space="preserve">Barretos </t>
  </si>
  <si>
    <t xml:space="preserve">Guaratinguetá </t>
  </si>
  <si>
    <t xml:space="preserve">Ribeirão Pires </t>
  </si>
  <si>
    <t xml:space="preserve">Poá </t>
  </si>
  <si>
    <t xml:space="preserve">Santana de Parnaíba </t>
  </si>
  <si>
    <t xml:space="preserve">Jandira </t>
  </si>
  <si>
    <t xml:space="preserve">Araruama </t>
  </si>
  <si>
    <t xml:space="preserve">Itaguaí </t>
  </si>
  <si>
    <t xml:space="preserve">Barra do Piraí </t>
  </si>
  <si>
    <t xml:space="preserve">Japeri </t>
  </si>
  <si>
    <t xml:space="preserve">Itaperuna </t>
  </si>
  <si>
    <t xml:space="preserve">Rio das Ostras </t>
  </si>
  <si>
    <t xml:space="preserve">São Pedro da Aldeia </t>
  </si>
  <si>
    <t xml:space="preserve">Seropédica </t>
  </si>
  <si>
    <t xml:space="preserve">Três Rios </t>
  </si>
  <si>
    <t xml:space="preserve">Valença </t>
  </si>
  <si>
    <t xml:space="preserve">Saquarema </t>
  </si>
  <si>
    <t xml:space="preserve">Cachoeiras de Macacu </t>
  </si>
  <si>
    <t xml:space="preserve">Rio Bonito </t>
  </si>
  <si>
    <t xml:space="preserve">Guapimirim </t>
  </si>
  <si>
    <t xml:space="preserve">São Francisco de Itabapoana </t>
  </si>
  <si>
    <t xml:space="preserve">Paracambi </t>
  </si>
  <si>
    <t xml:space="preserve">Santo Antônio de Pádua </t>
  </si>
  <si>
    <t xml:space="preserve">Paraíba do Sul </t>
  </si>
  <si>
    <t xml:space="preserve">São Fidélis </t>
  </si>
  <si>
    <t xml:space="preserve">Parati </t>
  </si>
  <si>
    <t xml:space="preserve">Bom Jesus do Itabapoana </t>
  </si>
  <si>
    <t xml:space="preserve">Itatiaia </t>
  </si>
  <si>
    <t xml:space="preserve">Vassouras </t>
  </si>
  <si>
    <t xml:space="preserve">Mangaratiba </t>
  </si>
  <si>
    <t xml:space="preserve">São João da Barra </t>
  </si>
  <si>
    <t xml:space="preserve">Tanguá </t>
  </si>
  <si>
    <t>Adição</t>
  </si>
  <si>
    <t xml:space="preserve">7 + 3</t>
  </si>
  <si>
    <t>Subtração</t>
  </si>
  <si>
    <t xml:space="preserve">7 -- 3</t>
  </si>
  <si>
    <t>Inversão</t>
  </si>
  <si>
    <t>Multiplicação</t>
  </si>
  <si>
    <t xml:space="preserve">4 x 3</t>
  </si>
  <si>
    <t>Divisão</t>
  </si>
  <si>
    <t xml:space="preserve">8 / 2 = </t>
  </si>
  <si>
    <t>Exponenciação</t>
  </si>
  <si>
    <t>5²</t>
  </si>
  <si>
    <t>porcentegem</t>
  </si>
  <si>
    <t xml:space="preserve">Nome </t>
  </si>
  <si>
    <t xml:space="preserve">Nota 1</t>
  </si>
  <si>
    <t xml:space="preserve">Nota 2</t>
  </si>
  <si>
    <t>Soma</t>
  </si>
  <si>
    <t>Média</t>
  </si>
  <si>
    <t xml:space="preserve">Ana </t>
  </si>
  <si>
    <t>Pedro</t>
  </si>
  <si>
    <t>Maria</t>
  </si>
  <si>
    <t>Cláudia</t>
  </si>
  <si>
    <t xml:space="preserve">média da turma:</t>
  </si>
  <si>
    <t xml:space="preserve">TOTAL POPULACIONAL</t>
  </si>
  <si>
    <t xml:space="preserve">MÉDIA POPULACIONAL:</t>
  </si>
  <si>
    <t xml:space="preserve">MAIOR VALOR:</t>
  </si>
  <si>
    <t xml:space="preserve">MENOR VALOR:</t>
  </si>
  <si>
    <t xml:space="preserve">TOTAL DE MUNICÍPIOS:</t>
  </si>
  <si>
    <t xml:space="preserve">C3 ATÉ C10:</t>
  </si>
  <si>
    <t xml:space="preserve">C3 E C10:</t>
  </si>
  <si>
    <t xml:space="preserve">C3 ATÉ C6 E C10 ATÉ C20:</t>
  </si>
  <si>
    <t>Status</t>
  </si>
  <si>
    <t>Classificação</t>
  </si>
  <si>
    <t xml:space="preserve">População do RJ</t>
  </si>
  <si>
    <t xml:space="preserve">População de SP</t>
  </si>
  <si>
    <t xml:space="preserve">Municípios do Rio</t>
  </si>
  <si>
    <t xml:space="preserve">Municípios paulistas</t>
  </si>
  <si>
    <t xml:space="preserve">média P. RJ</t>
  </si>
  <si>
    <t xml:space="preserve">Média P. SP</t>
  </si>
  <si>
    <t xml:space="preserve">Municípios grandes do RJ</t>
  </si>
  <si>
    <t xml:space="preserve">Municípios grandes de SP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</si>
</sst>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#,##0.0"/>
    <numFmt numFmtId="165" formatCode="0,00"/>
    <numFmt numFmtId="166" formatCode="0&quot;°&quot;"/>
    <numFmt numFmtId="167" formatCode="0.0"/>
  </numFmts>
  <fonts count="5">
    <font>
      <sz val="11.000000"/>
      <color theme="1"/>
      <name val="Calibri"/>
      <scheme val="minor"/>
    </font>
    <font>
      <b/>
      <sz val="11.000000"/>
      <color indexed="5"/>
      <name val="Calibri"/>
      <scheme val="minor"/>
    </font>
    <font>
      <sz val="11.000000"/>
      <color rgb="FF0070C0"/>
      <name val="Calibri"/>
      <scheme val="minor"/>
    </font>
    <font>
      <b/>
      <sz val="11.000000"/>
      <color theme="1"/>
      <name val="Calibri"/>
      <scheme val="minor"/>
    </font>
    <font>
      <b/>
      <sz val="11.000000"/>
      <color theme="0" tint="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2" tint="-0.499984740745262"/>
        <bgColor theme="2" tint="-0.499984740745262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9">
    <xf fontId="0" fillId="0" borderId="0" numFmtId="0" xfId="0"/>
    <xf fontId="1" fillId="2" borderId="1" numFmtId="0" xfId="0" applyFont="1" applyFill="1" applyBorder="1"/>
    <xf fontId="1" fillId="2" borderId="1" numFmtId="0" xfId="0" applyFont="1" applyFill="1" applyBorder="1" applyAlignment="1">
      <alignment horizontal="center" vertical="center"/>
    </xf>
    <xf fontId="2" fillId="3" borderId="1" numFmtId="0" xfId="0" applyFont="1" applyFill="1" applyBorder="1"/>
    <xf fontId="0" fillId="4" borderId="1" numFmtId="0" xfId="0" applyFill="1" applyBorder="1" applyAlignment="1">
      <alignment horizontal="center" vertical="center"/>
      <protection hidden="0" locked="1"/>
    </xf>
    <xf fontId="0" fillId="5" borderId="1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0" borderId="0" numFmtId="10" xfId="0" applyNumberFormat="1"/>
    <xf fontId="0" fillId="0" borderId="0" numFmtId="164" xfId="0" applyNumberFormat="1"/>
    <xf fontId="0" fillId="0" borderId="0" numFmtId="3" xfId="0" applyNumberFormat="1"/>
    <xf fontId="0" fillId="0" borderId="0" numFmtId="0" xfId="0" applyAlignment="1">
      <alignment horizontal="left"/>
    </xf>
    <xf fontId="3" fillId="0" borderId="0" numFmtId="0" xfId="0" applyFont="1" applyAlignment="1">
      <alignment horizontal="center"/>
    </xf>
    <xf fontId="3" fillId="0" borderId="0" numFmtId="0" xfId="0" applyFont="1" applyAlignment="1">
      <alignment horizontal="left"/>
    </xf>
    <xf fontId="4" fillId="6" borderId="0" numFmtId="0" xfId="0" applyFont="1" applyFill="1" applyAlignment="1">
      <alignment horizontal="left"/>
    </xf>
    <xf fontId="4" fillId="6" borderId="0" numFmtId="3" xfId="0" applyNumberFormat="1" applyFont="1" applyFill="1" applyAlignment="1">
      <alignment horizontal="left"/>
    </xf>
    <xf fontId="4" fillId="6" borderId="0" numFmtId="165" xfId="0" applyNumberFormat="1" applyFont="1" applyFill="1" applyAlignment="1">
      <alignment horizontal="left"/>
    </xf>
    <xf fontId="4" fillId="6" borderId="0" numFmtId="0" xfId="0" applyFont="1" applyFill="1" applyAlignment="1">
      <alignment horizontal="center"/>
    </xf>
    <xf fontId="0" fillId="0" borderId="0" numFmtId="0" xfId="0"/>
    <xf fontId="0" fillId="0" borderId="0" numFmtId="166" xfId="0" applyNumberFormat="1"/>
    <xf fontId="0" fillId="0" borderId="0" numFmtId="165" xfId="0" applyNumberFormat="1" applyAlignment="1">
      <alignment horizontal="left"/>
    </xf>
    <xf fontId="0" fillId="0" borderId="0" numFmtId="16" xfId="0" applyNumberFormat="1" applyAlignment="1">
      <alignment horizontal="left"/>
    </xf>
    <xf fontId="0" fillId="0" borderId="0" numFmtId="0" xfId="0" applyAlignment="1">
      <alignment horizontal="left"/>
    </xf>
    <xf fontId="0" fillId="0" borderId="0" numFmtId="9" xfId="0" applyNumberFormat="1" applyAlignment="1">
      <alignment horizontal="left"/>
    </xf>
    <xf fontId="0" fillId="0" borderId="0" numFmtId="167" xfId="0" applyNumberFormat="1"/>
    <xf fontId="0" fillId="0" borderId="0" numFmtId="0" xfId="0" applyAlignment="1">
      <alignment horizontal="center"/>
    </xf>
    <xf fontId="3" fillId="0" borderId="0" numFmtId="0" xfId="0" applyFont="1"/>
    <xf fontId="3" fillId="0" borderId="0" numFmtId="165" xfId="0" applyNumberFormat="1" applyFont="1"/>
    <xf fontId="0" fillId="0" borderId="0" numFmtId="0" xfId="0">
      <protection hidden="0" locked="1"/>
    </xf>
    <xf fontId="0" fillId="0" borderId="0" numFmtId="165" xfId="0" applyNumberFormat="1"/>
    <xf fontId="0" fillId="0" borderId="0" numFmtId="49" xfId="0" applyNumberFormat="1"/>
    <xf fontId="3" fillId="0" borderId="1" numFmtId="0" xfId="0" applyFont="1" applyBorder="1" applyAlignment="1">
      <alignment horizontal="center"/>
    </xf>
    <xf fontId="4" fillId="6" borderId="1" numFmtId="0" xfId="0" applyFont="1" applyFill="1" applyBorder="1" applyAlignment="1">
      <alignment horizontal="left"/>
    </xf>
    <xf fontId="4" fillId="6" borderId="1" numFmtId="3" xfId="0" applyNumberFormat="1" applyFont="1" applyFill="1" applyBorder="1" applyAlignment="1">
      <alignment horizontal="left"/>
    </xf>
    <xf fontId="4" fillId="6" borderId="1" numFmtId="165" xfId="0" applyNumberFormat="1" applyFont="1" applyFill="1" applyBorder="1" applyAlignment="1">
      <alignment horizontal="left"/>
    </xf>
    <xf fontId="4" fillId="6" borderId="1" numFmtId="49" xfId="0" applyNumberFormat="1" applyFont="1" applyFill="1" applyBorder="1" applyAlignment="1">
      <alignment horizontal="center"/>
    </xf>
    <xf fontId="0" fillId="0" borderId="1" numFmtId="0" xfId="0" applyBorder="1"/>
    <xf fontId="0" fillId="0" borderId="1" numFmtId="166" xfId="0" applyNumberFormat="1" applyBorder="1"/>
    <xf fontId="0" fillId="0" borderId="1" numFmtId="0" xfId="0" applyBorder="1">
      <protection hidden="0" locked="1"/>
    </xf>
    <xf fontId="0" fillId="0" borderId="1" numFmtId="3" xfId="0" applyNumberFormat="1" applyBorder="1" applyAlignment="1">
      <alignment horizontal="left"/>
    </xf>
    <xf fontId="0" fillId="0" borderId="1" numFmtId="49" xfId="0" applyNumberFormat="1" applyBorder="1" applyAlignment="1">
      <alignment horizontal="center"/>
    </xf>
    <xf fontId="0" fillId="0" borderId="1" numFmtId="49" xfId="0" applyNumberFormat="1" applyBorder="1"/>
    <xf fontId="0" fillId="0" borderId="1" numFmtId="3" xfId="0" applyNumberFormat="1" applyBorder="1"/>
    <xf fontId="0" fillId="0" borderId="1" numFmtId="49" xfId="0" applyNumberFormat="1" applyBorder="1" applyAlignment="1">
      <alignment horizontal="center"/>
    </xf>
    <xf fontId="0" fillId="0" borderId="1" numFmtId="4" xfId="0" applyNumberFormat="1" applyBorder="1"/>
    <xf fontId="0" fillId="0" borderId="1" numFmtId="0" xfId="0" applyBorder="1"/>
    <xf fontId="3" fillId="0" borderId="2" numFmtId="0" xfId="0" applyFont="1" applyBorder="1" applyAlignment="1">
      <alignment horizontal="center"/>
    </xf>
    <xf fontId="3" fillId="0" borderId="3" numFmtId="0" xfId="0" applyFont="1" applyBorder="1" applyAlignment="1">
      <alignment horizontal="center"/>
    </xf>
    <xf fontId="3" fillId="0" borderId="4" numFmtId="0" xfId="0" applyFont="1" applyBorder="1" applyAlignment="1">
      <alignment horizontal="center"/>
    </xf>
    <xf fontId="0" fillId="0" borderId="1" numFmtId="3" xfId="0" applyNumberForma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>
    <row r="1" ht="15">
      <c r="A1" t="s">
        <v>0</v>
      </c>
      <c r="B1" t="s">
        <v>1</v>
      </c>
      <c r="C1" t="s">
        <v>2</v>
      </c>
    </row>
    <row r="2" ht="15">
      <c r="A2" t="s">
        <v>3</v>
      </c>
      <c r="B2">
        <v>27</v>
      </c>
      <c r="C2" t="s">
        <v>4</v>
      </c>
    </row>
    <row r="3" ht="15">
      <c r="A3" t="s">
        <v>5</v>
      </c>
      <c r="B3">
        <v>34</v>
      </c>
      <c r="C3" t="s">
        <v>6</v>
      </c>
    </row>
    <row r="4" ht="15">
      <c r="A4" t="s">
        <v>7</v>
      </c>
      <c r="B4">
        <v>87</v>
      </c>
      <c r="C4" t="s">
        <v>6</v>
      </c>
    </row>
    <row r="5" ht="15">
      <c r="A5" t="s">
        <v>8</v>
      </c>
      <c r="B5">
        <v>23</v>
      </c>
      <c r="C5" t="s">
        <v>4</v>
      </c>
    </row>
    <row r="6" ht="15">
      <c r="A6" t="s">
        <v>9</v>
      </c>
      <c r="B6">
        <v>44</v>
      </c>
      <c r="C6" t="s">
        <v>4</v>
      </c>
    </row>
    <row r="7" ht="15">
      <c r="A7" t="s">
        <v>10</v>
      </c>
      <c r="B7">
        <v>12</v>
      </c>
      <c r="C7" t="s">
        <v>6</v>
      </c>
    </row>
    <row r="8" ht="15">
      <c r="A8" t="s">
        <v>11</v>
      </c>
      <c r="B8">
        <v>50</v>
      </c>
      <c r="C8" t="s">
        <v>4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2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>
    <row r="1">
      <c r="A1" s="1" t="s">
        <v>0</v>
      </c>
      <c r="B1" s="2" t="s">
        <v>1</v>
      </c>
      <c r="C1" s="2" t="s">
        <v>2</v>
      </c>
    </row>
    <row r="2">
      <c r="A2" s="3" t="s">
        <v>3</v>
      </c>
      <c r="B2" s="4">
        <v>27</v>
      </c>
      <c r="C2" s="5" t="s">
        <v>4</v>
      </c>
    </row>
    <row r="3">
      <c r="A3" s="3" t="s">
        <v>5</v>
      </c>
      <c r="B3" s="4">
        <v>34</v>
      </c>
      <c r="C3" s="5" t="s">
        <v>6</v>
      </c>
    </row>
    <row r="4">
      <c r="A4" s="3" t="s">
        <v>7</v>
      </c>
      <c r="B4" s="4">
        <v>87</v>
      </c>
      <c r="C4" s="5" t="s">
        <v>6</v>
      </c>
    </row>
    <row r="5">
      <c r="A5" s="3" t="s">
        <v>8</v>
      </c>
      <c r="B5" s="4">
        <v>23</v>
      </c>
      <c r="C5" s="5" t="s">
        <v>4</v>
      </c>
    </row>
    <row r="6">
      <c r="A6" s="3" t="s">
        <v>9</v>
      </c>
      <c r="B6" s="4">
        <v>44</v>
      </c>
      <c r="C6" s="5" t="s">
        <v>4</v>
      </c>
    </row>
    <row r="7">
      <c r="A7" s="3" t="s">
        <v>10</v>
      </c>
      <c r="B7" s="4">
        <v>12</v>
      </c>
      <c r="C7" s="5" t="s">
        <v>6</v>
      </c>
    </row>
    <row r="8">
      <c r="A8" s="3" t="s">
        <v>11</v>
      </c>
      <c r="B8" s="4">
        <v>50</v>
      </c>
      <c r="C8" s="5" t="s">
        <v>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3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bestFit="1" min="1" max="1" width="18.421875"/>
    <col bestFit="1" min="2" max="2" width="13.421875"/>
    <col bestFit="1" min="7" max="7" width="10.421875"/>
  </cols>
  <sheetData>
    <row r="1">
      <c r="A1" s="6" t="s">
        <v>12</v>
      </c>
      <c r="B1" s="6"/>
      <c r="C1" s="6"/>
      <c r="D1" s="6"/>
      <c r="E1" s="6"/>
      <c r="F1" s="6"/>
    </row>
    <row r="2" ht="14.25">
      <c r="A2" t="s">
        <v>13</v>
      </c>
      <c r="B2" t="s">
        <v>14</v>
      </c>
      <c r="G2" s="7"/>
    </row>
    <row r="3" ht="14.25">
      <c r="A3" t="s">
        <v>15</v>
      </c>
      <c r="B3" s="8">
        <v>12038175</v>
      </c>
    </row>
    <row r="4" ht="14.25">
      <c r="A4" t="s">
        <v>16</v>
      </c>
      <c r="B4" s="9">
        <v>12366474182</v>
      </c>
    </row>
  </sheetData>
  <mergeCells count="1">
    <mergeCell ref="A1:F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3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bestFit="1" min="1" max="1" width="7.7109375"/>
    <col bestFit="1" min="2" max="2" width="25.57421875"/>
    <col bestFit="1" min="3" max="3" style="10" width="10.08203125"/>
    <col customWidth="1" min="4" max="4" width="8.421875"/>
    <col bestFit="1" min="10" max="10" width="12.28125"/>
  </cols>
  <sheetData>
    <row r="1" ht="14.25">
      <c r="A1" s="11" t="s">
        <v>17</v>
      </c>
      <c r="B1" s="11"/>
      <c r="C1" s="12"/>
      <c r="D1" s="11"/>
    </row>
    <row r="2" ht="14.25">
      <c r="A2" s="13" t="s">
        <v>18</v>
      </c>
      <c r="B2" s="14" t="s">
        <v>19</v>
      </c>
      <c r="C2" s="15" t="s">
        <v>14</v>
      </c>
      <c r="D2" s="16" t="s">
        <v>20</v>
      </c>
      <c r="J2" t="s">
        <v>21</v>
      </c>
      <c r="K2" s="17" t="s">
        <v>22</v>
      </c>
      <c r="L2" s="17" t="s">
        <v>23</v>
      </c>
    </row>
    <row r="3" ht="14.25">
      <c r="A3" s="18">
        <v>1</v>
      </c>
      <c r="B3" t="s">
        <v>24</v>
      </c>
      <c r="C3" s="19">
        <v>10990249</v>
      </c>
      <c r="D3" s="6" t="s">
        <v>25</v>
      </c>
      <c r="J3" s="17" t="s">
        <v>26</v>
      </c>
      <c r="K3" s="17" t="s">
        <v>27</v>
      </c>
      <c r="L3" s="17" t="s">
        <v>28</v>
      </c>
    </row>
    <row r="4" ht="14.25">
      <c r="A4" s="18">
        <v>2</v>
      </c>
      <c r="B4" t="s">
        <v>29</v>
      </c>
      <c r="C4" s="19">
        <v>6161047</v>
      </c>
      <c r="D4" s="6" t="s">
        <v>30</v>
      </c>
      <c r="J4" s="17" t="s">
        <v>31</v>
      </c>
      <c r="K4" s="17" t="s">
        <v>32</v>
      </c>
      <c r="L4" s="17" t="s">
        <v>33</v>
      </c>
    </row>
    <row r="5" ht="14.25">
      <c r="A5" s="18">
        <v>3</v>
      </c>
      <c r="B5" t="s">
        <v>34</v>
      </c>
      <c r="C5" s="19">
        <v>1279202</v>
      </c>
      <c r="D5" s="6" t="s">
        <v>25</v>
      </c>
      <c r="J5" s="17" t="s">
        <v>35</v>
      </c>
      <c r="K5" s="17" t="s">
        <v>36</v>
      </c>
      <c r="L5" s="17" t="s">
        <v>37</v>
      </c>
    </row>
    <row r="6" ht="14.25">
      <c r="A6" s="18">
        <v>4</v>
      </c>
      <c r="B6" t="s">
        <v>38</v>
      </c>
      <c r="C6" s="19">
        <v>1056644</v>
      </c>
      <c r="D6" s="6" t="s">
        <v>25</v>
      </c>
      <c r="J6" s="17" t="s">
        <v>39</v>
      </c>
      <c r="K6" s="17" t="s">
        <v>40</v>
      </c>
      <c r="L6" s="17" t="s">
        <v>41</v>
      </c>
    </row>
    <row r="7" ht="14.25">
      <c r="A7" s="18">
        <v>5</v>
      </c>
      <c r="B7" t="s">
        <v>42</v>
      </c>
      <c r="C7" s="19">
        <v>982832</v>
      </c>
      <c r="D7" s="6" t="s">
        <v>30</v>
      </c>
      <c r="J7" s="17" t="s">
        <v>43</v>
      </c>
      <c r="K7" s="17" t="s">
        <v>44</v>
      </c>
      <c r="L7" s="17" t="s">
        <v>45</v>
      </c>
    </row>
    <row r="8" ht="14.25">
      <c r="A8" s="18">
        <v>6</v>
      </c>
      <c r="B8" t="s">
        <v>46</v>
      </c>
      <c r="C8" s="19">
        <v>864392</v>
      </c>
      <c r="D8" s="6" t="s">
        <v>30</v>
      </c>
      <c r="J8" s="17" t="s">
        <v>47</v>
      </c>
      <c r="K8" s="17" t="s">
        <v>48</v>
      </c>
      <c r="L8" s="17" t="s">
        <v>49</v>
      </c>
    </row>
    <row r="9" ht="14.25">
      <c r="A9" s="18">
        <v>7</v>
      </c>
      <c r="B9" t="s">
        <v>50</v>
      </c>
      <c r="C9" s="19">
        <v>855500</v>
      </c>
      <c r="D9" s="6" t="s">
        <v>30</v>
      </c>
      <c r="J9" s="17"/>
      <c r="K9" s="17" t="s">
        <v>51</v>
      </c>
      <c r="L9" s="17" t="s">
        <v>52</v>
      </c>
    </row>
    <row r="10" ht="14.25">
      <c r="A10" s="18">
        <v>8</v>
      </c>
      <c r="B10" t="s">
        <v>53</v>
      </c>
      <c r="C10" s="19">
        <v>801580</v>
      </c>
      <c r="D10" s="6" t="s">
        <v>25</v>
      </c>
      <c r="K10" s="17" t="s">
        <v>54</v>
      </c>
    </row>
    <row r="11" ht="14.25">
      <c r="A11" s="18">
        <v>9</v>
      </c>
      <c r="B11" t="s">
        <v>55</v>
      </c>
      <c r="C11" s="19">
        <v>713066</v>
      </c>
      <c r="D11" s="6" t="s">
        <v>25</v>
      </c>
      <c r="K11" s="17" t="s">
        <v>56</v>
      </c>
    </row>
    <row r="12" ht="14.25">
      <c r="A12" s="18">
        <v>10</v>
      </c>
      <c r="B12" t="s">
        <v>57</v>
      </c>
      <c r="C12" s="19">
        <v>671696</v>
      </c>
      <c r="D12" s="6" t="s">
        <v>25</v>
      </c>
      <c r="K12" s="17" t="s">
        <v>58</v>
      </c>
    </row>
    <row r="13" ht="14.25">
      <c r="A13" s="18">
        <v>11</v>
      </c>
      <c r="B13" t="s">
        <v>59</v>
      </c>
      <c r="C13" s="19">
        <v>636425</v>
      </c>
      <c r="D13" s="6" t="s">
        <v>25</v>
      </c>
      <c r="K13" s="17" t="s">
        <v>60</v>
      </c>
    </row>
    <row r="14" ht="14.25">
      <c r="A14" s="18">
        <v>12</v>
      </c>
      <c r="B14" t="s">
        <v>61</v>
      </c>
      <c r="C14" s="19">
        <v>576312</v>
      </c>
      <c r="D14" s="6" t="s">
        <v>25</v>
      </c>
    </row>
    <row r="15" ht="14.25">
      <c r="A15" s="18">
        <v>13</v>
      </c>
      <c r="B15" t="s">
        <v>62</v>
      </c>
      <c r="C15" s="19">
        <v>558136</v>
      </c>
      <c r="D15" s="6" t="s">
        <v>25</v>
      </c>
    </row>
    <row r="16" ht="14.25">
      <c r="A16" s="18">
        <v>14</v>
      </c>
      <c r="B16" t="s">
        <v>63</v>
      </c>
      <c r="C16" s="19">
        <v>495694</v>
      </c>
      <c r="D16" s="6" t="s">
        <v>30</v>
      </c>
    </row>
    <row r="17" ht="14.25">
      <c r="A17" s="18">
        <v>15</v>
      </c>
      <c r="B17" t="s">
        <v>64</v>
      </c>
      <c r="C17" s="19">
        <v>477912</v>
      </c>
      <c r="D17" s="6" t="s">
        <v>30</v>
      </c>
    </row>
    <row r="18" ht="14.25">
      <c r="A18" s="18">
        <v>16</v>
      </c>
      <c r="B18" t="s">
        <v>65</v>
      </c>
      <c r="C18" s="19">
        <v>468309</v>
      </c>
      <c r="D18" s="6" t="s">
        <v>30</v>
      </c>
    </row>
    <row r="19" ht="14.25">
      <c r="A19" s="18">
        <v>17</v>
      </c>
      <c r="B19" t="s">
        <v>66</v>
      </c>
      <c r="C19" s="19">
        <v>431839</v>
      </c>
      <c r="D19" s="6" t="s">
        <v>30</v>
      </c>
    </row>
    <row r="20" ht="14.25">
      <c r="A20" s="18">
        <v>18</v>
      </c>
      <c r="B20" t="s">
        <v>67</v>
      </c>
      <c r="C20" s="19">
        <v>417518</v>
      </c>
      <c r="D20" s="6" t="s">
        <v>25</v>
      </c>
    </row>
    <row r="21" ht="14.25">
      <c r="A21" s="18">
        <v>19</v>
      </c>
      <c r="B21" t="s">
        <v>68</v>
      </c>
      <c r="C21" s="19">
        <v>414272</v>
      </c>
      <c r="D21" s="6" t="s">
        <v>25</v>
      </c>
    </row>
    <row r="22" ht="14.25">
      <c r="A22" s="18">
        <v>20</v>
      </c>
      <c r="B22" t="s">
        <v>69</v>
      </c>
      <c r="C22" s="19">
        <v>412753</v>
      </c>
      <c r="D22" s="6" t="s">
        <v>25</v>
      </c>
    </row>
    <row r="23" ht="14.25">
      <c r="A23" s="18">
        <v>21</v>
      </c>
      <c r="B23" t="s">
        <v>70</v>
      </c>
      <c r="C23" s="19">
        <v>394266</v>
      </c>
      <c r="D23" s="6" t="s">
        <v>25</v>
      </c>
    </row>
    <row r="24" ht="14.25">
      <c r="A24" s="18">
        <v>22</v>
      </c>
      <c r="B24" t="s">
        <v>71</v>
      </c>
      <c r="C24" s="19">
        <v>388532</v>
      </c>
      <c r="D24" s="6" t="s">
        <v>25</v>
      </c>
    </row>
    <row r="25" ht="14.25">
      <c r="A25" s="18">
        <v>23</v>
      </c>
      <c r="B25" t="s">
        <v>72</v>
      </c>
      <c r="C25" s="19">
        <v>371372</v>
      </c>
      <c r="D25" s="6" t="s">
        <v>25</v>
      </c>
    </row>
    <row r="26" ht="14.25">
      <c r="A26" s="18">
        <v>24</v>
      </c>
      <c r="B26" t="s">
        <v>73</v>
      </c>
      <c r="C26" s="19">
        <v>365440</v>
      </c>
      <c r="D26" s="6" t="s">
        <v>25</v>
      </c>
    </row>
    <row r="27" ht="14.25">
      <c r="A27" s="18">
        <v>25</v>
      </c>
      <c r="B27" t="s">
        <v>74</v>
      </c>
      <c r="C27" s="19">
        <v>355675</v>
      </c>
      <c r="D27" s="6" t="s">
        <v>25</v>
      </c>
    </row>
    <row r="28" ht="14.25">
      <c r="A28" s="18">
        <v>26</v>
      </c>
      <c r="B28" t="s">
        <v>75</v>
      </c>
      <c r="C28" s="19">
        <v>351493</v>
      </c>
      <c r="D28" s="6" t="s">
        <v>25</v>
      </c>
    </row>
    <row r="29" ht="14.25">
      <c r="A29" s="18">
        <v>27</v>
      </c>
      <c r="B29" t="s">
        <v>76</v>
      </c>
      <c r="C29" s="19">
        <v>347738</v>
      </c>
      <c r="D29" s="6" t="s">
        <v>25</v>
      </c>
    </row>
    <row r="30" ht="14.25">
      <c r="A30" s="18">
        <v>28</v>
      </c>
      <c r="B30" t="s">
        <v>77</v>
      </c>
      <c r="C30" s="19">
        <v>328522</v>
      </c>
      <c r="D30" s="6" t="s">
        <v>25</v>
      </c>
    </row>
    <row r="31" ht="14.25">
      <c r="A31" s="18">
        <v>29</v>
      </c>
      <c r="B31" t="s">
        <v>78</v>
      </c>
      <c r="C31" s="19">
        <v>327176</v>
      </c>
      <c r="D31" s="6" t="s">
        <v>25</v>
      </c>
    </row>
    <row r="32" ht="14.25">
      <c r="A32" s="18">
        <v>30</v>
      </c>
      <c r="B32" t="s">
        <v>79</v>
      </c>
      <c r="C32" s="19">
        <v>312766</v>
      </c>
      <c r="D32" s="6" t="s">
        <v>30</v>
      </c>
    </row>
    <row r="33" ht="14.25">
      <c r="A33" s="18">
        <v>31</v>
      </c>
      <c r="B33" t="s">
        <v>80</v>
      </c>
      <c r="C33" s="19">
        <v>304274</v>
      </c>
      <c r="D33" s="6" t="s">
        <v>25</v>
      </c>
    </row>
    <row r="34" ht="14.25">
      <c r="A34" s="18">
        <v>32</v>
      </c>
      <c r="B34" t="s">
        <v>81</v>
      </c>
      <c r="C34" s="19">
        <v>279394</v>
      </c>
      <c r="D34" s="6" t="s">
        <v>25</v>
      </c>
    </row>
    <row r="35" ht="14.25">
      <c r="A35" s="18">
        <v>33</v>
      </c>
      <c r="B35" t="s">
        <v>82</v>
      </c>
      <c r="C35" s="19">
        <v>278776</v>
      </c>
      <c r="D35" s="6" t="s">
        <v>25</v>
      </c>
    </row>
    <row r="36" ht="14.25">
      <c r="A36" s="18">
        <v>34</v>
      </c>
      <c r="B36" t="s">
        <v>83</v>
      </c>
      <c r="C36" s="19">
        <v>270918</v>
      </c>
      <c r="D36" s="6" t="s">
        <v>25</v>
      </c>
    </row>
    <row r="37" ht="14.25">
      <c r="A37" s="18">
        <v>35</v>
      </c>
      <c r="B37" t="s">
        <v>84</v>
      </c>
      <c r="C37" s="19">
        <v>264619</v>
      </c>
      <c r="D37" s="6" t="s">
        <v>25</v>
      </c>
    </row>
    <row r="38" ht="14.25">
      <c r="A38" s="18">
        <v>36</v>
      </c>
      <c r="B38" t="s">
        <v>85</v>
      </c>
      <c r="C38" s="19">
        <v>259811</v>
      </c>
      <c r="D38" s="6" t="s">
        <v>30</v>
      </c>
    </row>
    <row r="39" ht="14.25">
      <c r="A39" s="18">
        <v>37</v>
      </c>
      <c r="B39" t="s">
        <v>86</v>
      </c>
      <c r="C39" s="19">
        <v>245093</v>
      </c>
      <c r="D39" s="6" t="s">
        <v>25</v>
      </c>
    </row>
    <row r="40" ht="14.25">
      <c r="A40" s="18">
        <v>38</v>
      </c>
      <c r="B40" t="s">
        <v>87</v>
      </c>
      <c r="C40" s="19">
        <v>244533</v>
      </c>
      <c r="D40" s="6" t="s">
        <v>25</v>
      </c>
    </row>
    <row r="41" ht="14.25">
      <c r="A41" s="18">
        <v>39</v>
      </c>
      <c r="B41" t="s">
        <v>88</v>
      </c>
      <c r="C41" s="19">
        <v>240940</v>
      </c>
      <c r="D41" s="6" t="s">
        <v>30</v>
      </c>
    </row>
    <row r="42" ht="14.25">
      <c r="A42" s="18">
        <v>40</v>
      </c>
      <c r="B42" t="s">
        <v>89</v>
      </c>
      <c r="C42" s="19">
        <v>237135</v>
      </c>
      <c r="D42" s="6" t="s">
        <v>25</v>
      </c>
    </row>
    <row r="43" ht="14.25">
      <c r="A43" s="18">
        <v>41</v>
      </c>
      <c r="B43" t="s">
        <v>90</v>
      </c>
      <c r="C43" s="19">
        <v>225309</v>
      </c>
      <c r="D43" s="6" t="s">
        <v>30</v>
      </c>
    </row>
    <row r="44" ht="14.25">
      <c r="A44" s="18">
        <v>42</v>
      </c>
      <c r="B44" t="s">
        <v>91</v>
      </c>
      <c r="C44" s="19">
        <v>224757</v>
      </c>
      <c r="D44" s="6" t="s">
        <v>25</v>
      </c>
    </row>
    <row r="45" ht="14.25">
      <c r="A45" s="18">
        <v>43</v>
      </c>
      <c r="B45" t="s">
        <v>92</v>
      </c>
      <c r="C45" s="19">
        <v>223454</v>
      </c>
      <c r="D45" s="6" t="s">
        <v>25</v>
      </c>
    </row>
    <row r="46" ht="14.25">
      <c r="A46" s="18">
        <v>44</v>
      </c>
      <c r="B46" t="s">
        <v>93</v>
      </c>
      <c r="C46" s="19">
        <v>218080</v>
      </c>
      <c r="D46" s="6" t="s">
        <v>25</v>
      </c>
    </row>
    <row r="47" ht="14.25">
      <c r="A47" s="18">
        <v>45</v>
      </c>
      <c r="B47" t="s">
        <v>94</v>
      </c>
      <c r="C47" s="19">
        <v>210988</v>
      </c>
      <c r="D47" s="6" t="s">
        <v>25</v>
      </c>
    </row>
    <row r="48" ht="14.25">
      <c r="A48" s="18">
        <v>46</v>
      </c>
      <c r="B48" t="s">
        <v>95</v>
      </c>
      <c r="C48" s="19">
        <v>206164</v>
      </c>
      <c r="D48" s="6" t="s">
        <v>25</v>
      </c>
    </row>
    <row r="49" ht="14.25">
      <c r="A49" s="18">
        <v>47</v>
      </c>
      <c r="B49" t="s">
        <v>96</v>
      </c>
      <c r="C49" s="19">
        <v>203283</v>
      </c>
      <c r="D49" s="6" t="s">
        <v>25</v>
      </c>
    </row>
    <row r="50" ht="14.25">
      <c r="A50" s="18">
        <v>48</v>
      </c>
      <c r="B50" t="s">
        <v>97</v>
      </c>
      <c r="C50" s="19">
        <v>201995</v>
      </c>
      <c r="D50" s="6" t="s">
        <v>25</v>
      </c>
    </row>
    <row r="51" ht="14.25">
      <c r="A51" s="18">
        <v>49</v>
      </c>
      <c r="B51" t="s">
        <v>98</v>
      </c>
      <c r="C51" s="19">
        <v>201049</v>
      </c>
      <c r="D51" s="6" t="s">
        <v>25</v>
      </c>
    </row>
    <row r="52" ht="14.25">
      <c r="A52" s="18">
        <v>50</v>
      </c>
      <c r="B52" t="s">
        <v>99</v>
      </c>
      <c r="C52" s="19">
        <v>199132</v>
      </c>
      <c r="D52" s="6" t="s">
        <v>25</v>
      </c>
    </row>
    <row r="53" ht="14.25">
      <c r="A53" s="18">
        <v>51</v>
      </c>
      <c r="B53" t="s">
        <v>100</v>
      </c>
      <c r="C53" s="19">
        <v>189834</v>
      </c>
      <c r="D53" s="6" t="s">
        <v>25</v>
      </c>
    </row>
    <row r="54" ht="14.25">
      <c r="A54" s="18">
        <v>52</v>
      </c>
      <c r="B54" t="s">
        <v>101</v>
      </c>
      <c r="C54" s="19">
        <v>188787</v>
      </c>
      <c r="D54" s="6" t="s">
        <v>30</v>
      </c>
    </row>
    <row r="55" ht="14.25">
      <c r="A55" s="18">
        <v>53</v>
      </c>
      <c r="B55" t="s">
        <v>102</v>
      </c>
      <c r="C55" s="19">
        <v>187949</v>
      </c>
      <c r="D55" s="6" t="s">
        <v>30</v>
      </c>
    </row>
    <row r="56" ht="14.25">
      <c r="A56" s="18">
        <v>54</v>
      </c>
      <c r="B56" t="s">
        <v>103</v>
      </c>
      <c r="C56" s="19">
        <v>187908</v>
      </c>
      <c r="D56" s="6" t="s">
        <v>25</v>
      </c>
    </row>
    <row r="57" ht="14.25">
      <c r="A57" s="18">
        <v>55</v>
      </c>
      <c r="B57" t="s">
        <v>104</v>
      </c>
      <c r="C57" s="19">
        <v>181143</v>
      </c>
      <c r="D57" s="6" t="s">
        <v>25</v>
      </c>
    </row>
    <row r="58" ht="14.25">
      <c r="A58" s="18">
        <v>56</v>
      </c>
      <c r="B58" t="s">
        <v>105</v>
      </c>
      <c r="C58" s="19">
        <v>180635</v>
      </c>
      <c r="D58" s="6" t="s">
        <v>30</v>
      </c>
    </row>
    <row r="59" ht="14.25">
      <c r="A59" s="18">
        <v>57</v>
      </c>
      <c r="B59" t="s">
        <v>106</v>
      </c>
      <c r="C59" s="19">
        <v>180524</v>
      </c>
      <c r="D59" s="6" t="s">
        <v>25</v>
      </c>
    </row>
    <row r="60" ht="14.25">
      <c r="A60" s="18">
        <v>58</v>
      </c>
      <c r="B60" t="s">
        <v>107</v>
      </c>
      <c r="C60" s="19">
        <v>179109</v>
      </c>
      <c r="D60" s="6" t="s">
        <v>25</v>
      </c>
    </row>
    <row r="61" ht="14.25">
      <c r="A61" s="18">
        <v>59</v>
      </c>
      <c r="B61" t="s">
        <v>108</v>
      </c>
      <c r="C61" s="19">
        <v>178310</v>
      </c>
      <c r="D61" s="6" t="s">
        <v>30</v>
      </c>
    </row>
    <row r="62" ht="14.25">
      <c r="A62" s="18">
        <v>60</v>
      </c>
      <c r="B62" t="s">
        <v>109</v>
      </c>
      <c r="C62" s="19">
        <v>176469</v>
      </c>
      <c r="D62" s="6" t="s">
        <v>30</v>
      </c>
    </row>
    <row r="63" ht="14.25">
      <c r="A63" s="18">
        <v>61</v>
      </c>
      <c r="B63" t="s">
        <v>110</v>
      </c>
      <c r="C63" s="19">
        <v>175939</v>
      </c>
      <c r="D63" s="6" t="s">
        <v>25</v>
      </c>
    </row>
    <row r="64" ht="14.25">
      <c r="A64" s="18">
        <v>62</v>
      </c>
      <c r="B64" t="s">
        <v>111</v>
      </c>
      <c r="C64" s="19">
        <v>164191</v>
      </c>
      <c r="D64" s="6" t="s">
        <v>30</v>
      </c>
    </row>
    <row r="65" ht="14.25">
      <c r="A65" s="18">
        <v>63</v>
      </c>
      <c r="B65" t="s">
        <v>112</v>
      </c>
      <c r="C65" s="19">
        <v>159968</v>
      </c>
      <c r="D65" s="6" t="s">
        <v>30</v>
      </c>
    </row>
    <row r="66" ht="14.25">
      <c r="A66" s="18">
        <v>64</v>
      </c>
      <c r="B66" t="s">
        <v>113</v>
      </c>
      <c r="C66" s="19">
        <v>159102</v>
      </c>
      <c r="D66" s="6" t="s">
        <v>25</v>
      </c>
    </row>
    <row r="67" ht="14.25">
      <c r="A67" s="18">
        <v>65</v>
      </c>
      <c r="B67" t="s">
        <v>114</v>
      </c>
      <c r="C67" s="19">
        <v>159005</v>
      </c>
      <c r="D67" s="6" t="s">
        <v>30</v>
      </c>
    </row>
    <row r="68" ht="14.25">
      <c r="A68" s="18">
        <v>66</v>
      </c>
      <c r="B68" t="s">
        <v>115</v>
      </c>
      <c r="C68" s="19">
        <v>155457</v>
      </c>
      <c r="D68" s="6" t="s">
        <v>25</v>
      </c>
    </row>
    <row r="69" ht="14.25">
      <c r="A69" s="18">
        <v>67</v>
      </c>
      <c r="B69" t="s">
        <v>116</v>
      </c>
      <c r="C69" s="19">
        <v>155224</v>
      </c>
      <c r="D69" s="6" t="s">
        <v>25</v>
      </c>
    </row>
    <row r="70" ht="14.25">
      <c r="A70" s="18">
        <v>68</v>
      </c>
      <c r="B70" t="s">
        <v>117</v>
      </c>
      <c r="C70" s="19">
        <v>151103</v>
      </c>
      <c r="D70" s="6" t="s">
        <v>25</v>
      </c>
    </row>
    <row r="71" ht="14.25">
      <c r="A71" s="18">
        <v>69</v>
      </c>
      <c r="B71" t="s">
        <v>118</v>
      </c>
      <c r="C71" s="19">
        <v>146760</v>
      </c>
      <c r="D71" s="6" t="s">
        <v>25</v>
      </c>
    </row>
    <row r="72" ht="14.25">
      <c r="A72" s="18">
        <v>70</v>
      </c>
      <c r="B72" t="s">
        <v>119</v>
      </c>
      <c r="C72" s="19">
        <v>144066</v>
      </c>
      <c r="D72" s="6" t="s">
        <v>25</v>
      </c>
    </row>
    <row r="73" ht="14.25">
      <c r="A73" s="18">
        <v>71</v>
      </c>
      <c r="B73" t="s">
        <v>120</v>
      </c>
      <c r="C73" s="19">
        <v>142997</v>
      </c>
      <c r="D73" s="6" t="s">
        <v>25</v>
      </c>
    </row>
    <row r="74" ht="14.25">
      <c r="A74" s="18">
        <v>72</v>
      </c>
      <c r="B74" t="s">
        <v>121</v>
      </c>
      <c r="C74" s="19">
        <v>138494</v>
      </c>
      <c r="D74" s="6" t="s">
        <v>25</v>
      </c>
    </row>
    <row r="75" ht="14.25">
      <c r="A75" s="18">
        <v>73</v>
      </c>
      <c r="B75" t="s">
        <v>122</v>
      </c>
      <c r="C75" s="19">
        <v>137870</v>
      </c>
      <c r="D75" s="6" t="s">
        <v>30</v>
      </c>
    </row>
    <row r="76" ht="14.25">
      <c r="A76" s="18">
        <v>74</v>
      </c>
      <c r="B76" t="s">
        <v>123</v>
      </c>
      <c r="C76" s="19">
        <v>133469</v>
      </c>
      <c r="D76" s="6" t="s">
        <v>25</v>
      </c>
    </row>
    <row r="77" ht="14.25">
      <c r="A77" s="18">
        <v>75</v>
      </c>
      <c r="B77" t="s">
        <v>124</v>
      </c>
      <c r="C77" s="19">
        <v>129304</v>
      </c>
      <c r="D77" s="6" t="s">
        <v>25</v>
      </c>
    </row>
    <row r="78" ht="14.25">
      <c r="A78" s="18">
        <v>76</v>
      </c>
      <c r="B78" t="s">
        <v>125</v>
      </c>
      <c r="C78" s="19">
        <v>128397</v>
      </c>
      <c r="D78" s="6" t="s">
        <v>25</v>
      </c>
    </row>
    <row r="79" ht="14.25">
      <c r="A79" s="18">
        <v>77</v>
      </c>
      <c r="B79" t="s">
        <v>126</v>
      </c>
      <c r="C79" s="19">
        <v>127763</v>
      </c>
      <c r="D79" s="6" t="s">
        <v>30</v>
      </c>
    </row>
    <row r="80" ht="14.25">
      <c r="A80" s="18">
        <v>78</v>
      </c>
      <c r="B80" t="s">
        <v>127</v>
      </c>
      <c r="C80" s="19">
        <v>127702</v>
      </c>
      <c r="D80" s="6" t="s">
        <v>25</v>
      </c>
    </row>
    <row r="81" ht="14.25">
      <c r="A81" s="18">
        <v>79</v>
      </c>
      <c r="B81" t="s">
        <v>128</v>
      </c>
      <c r="C81" s="19">
        <v>125418</v>
      </c>
      <c r="D81" s="6" t="s">
        <v>25</v>
      </c>
    </row>
    <row r="82" ht="14.25">
      <c r="A82" s="18">
        <v>80</v>
      </c>
      <c r="B82" t="s">
        <v>129</v>
      </c>
      <c r="C82" s="19">
        <v>119231</v>
      </c>
      <c r="D82" s="6" t="s">
        <v>30</v>
      </c>
    </row>
    <row r="83" ht="14.25">
      <c r="A83" s="18">
        <v>81</v>
      </c>
      <c r="B83" t="s">
        <v>130</v>
      </c>
      <c r="C83" s="19">
        <v>114069</v>
      </c>
      <c r="D83" s="6" t="s">
        <v>25</v>
      </c>
    </row>
    <row r="84" ht="14.25">
      <c r="A84" s="18">
        <v>82</v>
      </c>
      <c r="B84" t="s">
        <v>131</v>
      </c>
      <c r="C84" s="19">
        <v>113645</v>
      </c>
      <c r="D84" s="6" t="s">
        <v>25</v>
      </c>
    </row>
    <row r="85" ht="14.25">
      <c r="A85" s="18">
        <v>83</v>
      </c>
      <c r="B85" t="s">
        <v>132</v>
      </c>
      <c r="C85" s="19">
        <v>112804</v>
      </c>
      <c r="D85" s="6" t="s">
        <v>25</v>
      </c>
    </row>
    <row r="86" ht="14.25">
      <c r="A86" s="18">
        <v>84</v>
      </c>
      <c r="B86" t="s">
        <v>133</v>
      </c>
      <c r="C86" s="19">
        <v>112596</v>
      </c>
      <c r="D86" s="6" t="s">
        <v>25</v>
      </c>
    </row>
    <row r="87" ht="14.25">
      <c r="A87" s="18">
        <v>85</v>
      </c>
      <c r="B87" t="s">
        <v>134</v>
      </c>
      <c r="C87" s="19">
        <v>111402</v>
      </c>
      <c r="D87" s="6" t="s">
        <v>25</v>
      </c>
    </row>
    <row r="88" ht="14.25">
      <c r="A88" s="18">
        <v>86</v>
      </c>
      <c r="B88" t="s">
        <v>135</v>
      </c>
      <c r="C88" s="19">
        <v>111016</v>
      </c>
      <c r="D88" s="6" t="s">
        <v>25</v>
      </c>
    </row>
    <row r="89" ht="14.25">
      <c r="A89" s="18">
        <v>87</v>
      </c>
      <c r="B89" t="s">
        <v>136</v>
      </c>
      <c r="C89" s="19">
        <v>110730</v>
      </c>
      <c r="D89" s="6" t="s">
        <v>25</v>
      </c>
    </row>
    <row r="90" ht="14.25">
      <c r="A90" s="18">
        <v>88</v>
      </c>
      <c r="B90" t="s">
        <v>137</v>
      </c>
      <c r="C90" s="19">
        <v>110325</v>
      </c>
      <c r="D90" s="6" t="s">
        <v>25</v>
      </c>
    </row>
    <row r="91" ht="14.25">
      <c r="A91" s="18">
        <v>89</v>
      </c>
      <c r="B91" t="s">
        <v>138</v>
      </c>
      <c r="C91" s="19">
        <v>107285</v>
      </c>
      <c r="D91" s="6" t="s">
        <v>30</v>
      </c>
    </row>
    <row r="92" ht="14.25">
      <c r="A92" s="18">
        <v>90</v>
      </c>
      <c r="B92" t="s">
        <v>139</v>
      </c>
      <c r="C92" s="19">
        <v>103515</v>
      </c>
      <c r="D92" s="6" t="s">
        <v>30</v>
      </c>
    </row>
    <row r="93" ht="14.25">
      <c r="A93" s="18">
        <v>91</v>
      </c>
      <c r="B93" t="s">
        <v>140</v>
      </c>
      <c r="C93" s="19">
        <v>102487</v>
      </c>
      <c r="D93" s="6" t="s">
        <v>30</v>
      </c>
    </row>
    <row r="94" ht="14.25">
      <c r="A94" s="18">
        <v>92</v>
      </c>
      <c r="B94" t="s">
        <v>141</v>
      </c>
      <c r="C94" s="19">
        <v>100055</v>
      </c>
      <c r="D94" s="6" t="s">
        <v>30</v>
      </c>
    </row>
    <row r="95" ht="14.25">
      <c r="A95" s="18">
        <v>93</v>
      </c>
      <c r="B95" t="s">
        <v>142</v>
      </c>
      <c r="C95" s="19">
        <v>98347</v>
      </c>
      <c r="D95" s="6" t="s">
        <v>30</v>
      </c>
    </row>
    <row r="96" ht="14.25">
      <c r="A96" s="18">
        <v>94</v>
      </c>
      <c r="B96" t="s">
        <v>143</v>
      </c>
      <c r="C96" s="19">
        <v>91085</v>
      </c>
      <c r="D96" s="6" t="s">
        <v>30</v>
      </c>
    </row>
    <row r="97" ht="14.25">
      <c r="A97" s="18">
        <v>95</v>
      </c>
      <c r="B97" t="s">
        <v>144</v>
      </c>
      <c r="C97" s="19">
        <v>82951</v>
      </c>
      <c r="D97" s="6" t="s">
        <v>30</v>
      </c>
    </row>
    <row r="98" ht="14.25">
      <c r="A98" s="18">
        <v>96</v>
      </c>
      <c r="B98" t="s">
        <v>145</v>
      </c>
      <c r="C98" s="19">
        <v>77618</v>
      </c>
      <c r="D98" s="6" t="s">
        <v>30</v>
      </c>
    </row>
    <row r="99" ht="14.25">
      <c r="A99" s="18">
        <v>97</v>
      </c>
      <c r="B99" t="s">
        <v>146</v>
      </c>
      <c r="C99" s="19">
        <v>75754</v>
      </c>
      <c r="D99" s="6" t="s">
        <v>30</v>
      </c>
    </row>
    <row r="100" ht="14.25">
      <c r="A100" s="18">
        <v>98</v>
      </c>
      <c r="B100" t="s">
        <v>147</v>
      </c>
      <c r="C100" s="19">
        <v>74993</v>
      </c>
      <c r="D100" s="6" t="s">
        <v>30</v>
      </c>
    </row>
    <row r="101" ht="14.25">
      <c r="A101" s="18">
        <v>99</v>
      </c>
      <c r="B101" t="s">
        <v>148</v>
      </c>
      <c r="C101" s="19">
        <v>67853</v>
      </c>
      <c r="D101" s="6" t="s">
        <v>30</v>
      </c>
    </row>
    <row r="102" ht="14.25">
      <c r="A102" s="18">
        <v>100</v>
      </c>
      <c r="B102" t="s">
        <v>149</v>
      </c>
      <c r="C102" s="19">
        <v>56529</v>
      </c>
      <c r="D102" s="6" t="s">
        <v>30</v>
      </c>
    </row>
    <row r="103" ht="14.25">
      <c r="A103" s="18">
        <v>101</v>
      </c>
      <c r="B103" t="s">
        <v>150</v>
      </c>
      <c r="C103" s="19">
        <v>54596</v>
      </c>
      <c r="D103" s="6" t="s">
        <v>30</v>
      </c>
    </row>
    <row r="104" ht="14.25">
      <c r="A104" s="18">
        <v>102</v>
      </c>
      <c r="B104" t="s">
        <v>151</v>
      </c>
      <c r="C104" s="19">
        <v>48688</v>
      </c>
      <c r="D104" s="6" t="s">
        <v>30</v>
      </c>
    </row>
    <row r="105" ht="14.25">
      <c r="A105" s="18">
        <v>103</v>
      </c>
      <c r="B105" t="s">
        <v>152</v>
      </c>
      <c r="C105" s="19">
        <v>47247</v>
      </c>
      <c r="D105" s="6" t="s">
        <v>30</v>
      </c>
    </row>
    <row r="106" ht="14.25">
      <c r="A106" s="18">
        <v>104</v>
      </c>
      <c r="B106" t="s">
        <v>153</v>
      </c>
      <c r="C106" s="19">
        <v>44629</v>
      </c>
      <c r="D106" s="6" t="s">
        <v>30</v>
      </c>
    </row>
    <row r="107" ht="14.25">
      <c r="A107" s="18">
        <v>105</v>
      </c>
      <c r="B107" t="s">
        <v>154</v>
      </c>
      <c r="C107" s="19">
        <v>42093</v>
      </c>
      <c r="D107" s="6" t="s">
        <v>30</v>
      </c>
    </row>
    <row r="108" ht="14.25">
      <c r="A108" s="18">
        <v>106</v>
      </c>
      <c r="B108" t="s">
        <v>155</v>
      </c>
      <c r="C108" s="19">
        <v>41315</v>
      </c>
      <c r="D108" s="6" t="s">
        <v>30</v>
      </c>
    </row>
    <row r="109" ht="14.25">
      <c r="A109" s="18">
        <v>107</v>
      </c>
      <c r="B109" t="s">
        <v>156</v>
      </c>
      <c r="C109" s="19">
        <v>39057</v>
      </c>
      <c r="D109" s="6" t="s">
        <v>30</v>
      </c>
    </row>
    <row r="110" ht="14.25">
      <c r="A110" s="18">
        <v>108</v>
      </c>
      <c r="B110" t="s">
        <v>157</v>
      </c>
      <c r="C110" s="19">
        <v>35182</v>
      </c>
      <c r="D110" s="6" t="s">
        <v>30</v>
      </c>
    </row>
    <row r="111" ht="14.25">
      <c r="A111" s="18">
        <v>109</v>
      </c>
      <c r="B111" t="s">
        <v>158</v>
      </c>
      <c r="C111" s="19">
        <v>35178</v>
      </c>
      <c r="D111" s="6" t="s">
        <v>30</v>
      </c>
    </row>
    <row r="112" ht="14.25">
      <c r="A112" s="18">
        <v>110</v>
      </c>
      <c r="B112" t="s">
        <v>159</v>
      </c>
      <c r="C112" s="19">
        <v>34595</v>
      </c>
      <c r="D112" s="6" t="s">
        <v>30</v>
      </c>
    </row>
    <row r="113" ht="14.25">
      <c r="A113" s="18">
        <v>111</v>
      </c>
      <c r="B113" t="s">
        <v>160</v>
      </c>
      <c r="C113" s="19">
        <v>34024</v>
      </c>
      <c r="D113" s="6" t="s">
        <v>30</v>
      </c>
    </row>
    <row r="114" ht="14.25">
      <c r="A114" s="18">
        <v>112</v>
      </c>
      <c r="B114" t="s">
        <v>161</v>
      </c>
      <c r="C114" s="19">
        <v>31848</v>
      </c>
      <c r="D114" s="6" t="s">
        <v>30</v>
      </c>
    </row>
    <row r="115" ht="14.25">
      <c r="A115" s="18">
        <v>113</v>
      </c>
      <c r="B115" t="s">
        <v>162</v>
      </c>
      <c r="C115" s="19">
        <v>30348</v>
      </c>
      <c r="D115" s="6" t="s">
        <v>30</v>
      </c>
    </row>
    <row r="116" ht="14.25">
      <c r="A116" s="18">
        <v>114</v>
      </c>
      <c r="B116" t="s">
        <v>163</v>
      </c>
      <c r="C116" s="19">
        <v>30139</v>
      </c>
      <c r="D116" s="6" t="s">
        <v>30</v>
      </c>
    </row>
  </sheetData>
  <sortState ref="B3:D116" columnSort="0">
    <sortCondition sortBy="value" descending="0" ref="C3:C116"/>
  </sortState>
  <mergeCells count="1">
    <mergeCell ref="A1:D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1" tint="0"/>
    <outlinePr applyStyles="0" summaryBelow="1" summaryRight="1" showOutlineSymbols="1"/>
    <pageSetUpPr autoPageBreaks="1" fitToPage="0"/>
  </sheetPr>
  <sheetViews>
    <sheetView topLeftCell="B4" zoomScale="100" workbookViewId="0">
      <selection activeCell="A1" activeCellId="0" sqref="A1"/>
    </sheetView>
  </sheetViews>
  <sheetFormatPr defaultRowHeight="14.25"/>
  <cols>
    <col bestFit="1" min="1" max="1" width="13.421875"/>
    <col bestFit="1" min="2" max="2" width="11.7109375"/>
  </cols>
  <sheetData>
    <row r="1" ht="14.25">
      <c r="A1" t="s">
        <v>164</v>
      </c>
      <c r="B1" s="10" t="s">
        <v>165</v>
      </c>
      <c r="C1">
        <f>7+3</f>
        <v>10</v>
      </c>
    </row>
    <row r="2" ht="14.25">
      <c r="A2" t="s">
        <v>166</v>
      </c>
      <c r="B2" s="20" t="s">
        <v>167</v>
      </c>
      <c r="C2">
        <f>7-3</f>
        <v>4</v>
      </c>
    </row>
    <row r="3" ht="14.25">
      <c r="A3" t="s">
        <v>168</v>
      </c>
      <c r="B3" s="10">
        <v>-8</v>
      </c>
      <c r="C3">
        <f>-8</f>
        <v>-8</v>
      </c>
    </row>
    <row r="4" ht="14.25">
      <c r="A4" t="s">
        <v>169</v>
      </c>
      <c r="B4" s="21" t="s">
        <v>170</v>
      </c>
      <c r="C4">
        <f>4*3</f>
        <v>12</v>
      </c>
    </row>
    <row r="5" ht="14.25">
      <c r="A5" t="s">
        <v>171</v>
      </c>
      <c r="B5" s="20" t="s">
        <v>172</v>
      </c>
      <c r="C5">
        <f>8/2</f>
        <v>4</v>
      </c>
    </row>
    <row r="6" ht="14.25">
      <c r="A6" t="s">
        <v>173</v>
      </c>
      <c r="B6" s="21" t="s">
        <v>174</v>
      </c>
      <c r="C6">
        <f>5^2</f>
        <v>25</v>
      </c>
    </row>
    <row r="7" ht="14.25">
      <c r="A7" t="s">
        <v>175</v>
      </c>
      <c r="B7" s="22">
        <v>0.20000000000000001</v>
      </c>
      <c r="C7">
        <f>20/100</f>
        <v>0.20000000000000001</v>
      </c>
    </row>
    <row r="9" ht="14.25">
      <c r="A9" t="s">
        <v>176</v>
      </c>
      <c r="B9" t="s">
        <v>177</v>
      </c>
      <c r="C9" t="s">
        <v>178</v>
      </c>
      <c r="D9" t="s">
        <v>179</v>
      </c>
      <c r="E9" t="s">
        <v>180</v>
      </c>
    </row>
    <row r="10" ht="14.25">
      <c r="A10" t="s">
        <v>181</v>
      </c>
      <c r="B10" s="23">
        <v>9.5</v>
      </c>
      <c r="C10" s="23">
        <v>8</v>
      </c>
      <c r="D10" s="23">
        <f>SUM(B10,C10)</f>
        <v>17.5</v>
      </c>
      <c r="E10" s="23">
        <f>AVERAGE(B10,C10)</f>
        <v>8.75</v>
      </c>
    </row>
    <row r="11" ht="14.25">
      <c r="A11" t="s">
        <v>182</v>
      </c>
      <c r="B11" s="23">
        <v>8.5</v>
      </c>
      <c r="C11" s="23">
        <v>4</v>
      </c>
      <c r="D11" s="23">
        <f>SUM(B11,C11)</f>
        <v>12.5</v>
      </c>
      <c r="E11" s="23">
        <f>AVERAGE(B11,C11)</f>
        <v>6.25</v>
      </c>
    </row>
    <row r="12" ht="14.25">
      <c r="A12" t="s">
        <v>183</v>
      </c>
      <c r="B12" s="23">
        <v>5</v>
      </c>
      <c r="C12" s="23">
        <v>9.5</v>
      </c>
      <c r="D12" s="23">
        <f>SUM(B12,C12)</f>
        <v>14.5</v>
      </c>
      <c r="E12" s="23">
        <f>AVERAGE(B12,C12)</f>
        <v>7.25</v>
      </c>
    </row>
    <row r="13" ht="14.25">
      <c r="A13" t="s">
        <v>184</v>
      </c>
      <c r="B13" s="23">
        <v>3</v>
      </c>
      <c r="C13" s="23">
        <v>5.5</v>
      </c>
      <c r="D13" s="23">
        <f>SUM(B13,C13)</f>
        <v>8.5</v>
      </c>
      <c r="E13" s="23">
        <f>AVERAGE(B13,C13)</f>
        <v>4.25</v>
      </c>
    </row>
    <row r="15" ht="14.25">
      <c r="C15" s="24" t="s">
        <v>185</v>
      </c>
      <c r="D15" s="24"/>
      <c r="E15" s="23">
        <f>AVERAGE(E10:E13)</f>
        <v>6.625</v>
      </c>
    </row>
  </sheetData>
  <mergeCells count="1">
    <mergeCell ref="C15:D15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bestFit="1" min="2" max="2" width="25.57421875"/>
    <col customWidth="1" min="3" max="3" width="10.140625"/>
    <col bestFit="1" customWidth="1" min="8" max="8" width="21.7109375"/>
    <col bestFit="1" min="9" max="9" width="9.8515625"/>
  </cols>
  <sheetData>
    <row r="1" ht="14.25">
      <c r="A1" s="11" t="s">
        <v>17</v>
      </c>
      <c r="B1" s="11"/>
      <c r="C1" s="11"/>
      <c r="D1" s="11"/>
    </row>
    <row r="2" ht="14.25">
      <c r="A2" s="13" t="s">
        <v>18</v>
      </c>
      <c r="B2" s="14" t="s">
        <v>19</v>
      </c>
      <c r="C2" s="15" t="s">
        <v>14</v>
      </c>
      <c r="D2" s="16" t="s">
        <v>20</v>
      </c>
      <c r="H2" s="25" t="s">
        <v>186</v>
      </c>
      <c r="I2" s="26">
        <f>SUM(Populacao)</f>
        <v>44744188</v>
      </c>
    </row>
    <row r="3" ht="14.25">
      <c r="A3" s="18">
        <v>1</v>
      </c>
      <c r="B3" s="27" t="s">
        <v>24</v>
      </c>
      <c r="C3" s="19">
        <v>10990249</v>
      </c>
      <c r="D3" s="6" t="s">
        <v>25</v>
      </c>
      <c r="H3" s="25" t="s">
        <v>187</v>
      </c>
      <c r="I3" s="26">
        <f>AVERAGE(C3:C116)</f>
        <v>392492.87719298247</v>
      </c>
    </row>
    <row r="4" ht="14.25">
      <c r="A4" s="18">
        <v>2</v>
      </c>
      <c r="B4" s="27" t="s">
        <v>29</v>
      </c>
      <c r="C4" s="19">
        <v>6161047</v>
      </c>
      <c r="D4" s="6" t="s">
        <v>30</v>
      </c>
      <c r="H4" t="s">
        <v>188</v>
      </c>
      <c r="I4">
        <f>LARGE(C3:C116,1)</f>
        <v>10990249</v>
      </c>
    </row>
    <row r="5" ht="14.25">
      <c r="A5" s="18">
        <v>3</v>
      </c>
      <c r="B5" s="27" t="s">
        <v>34</v>
      </c>
      <c r="C5" s="19">
        <v>1279202</v>
      </c>
      <c r="D5" s="6" t="s">
        <v>25</v>
      </c>
      <c r="H5" t="s">
        <v>189</v>
      </c>
      <c r="I5">
        <f>SMALL(C3:C116,1)</f>
        <v>30139</v>
      </c>
    </row>
    <row r="6" ht="14.25">
      <c r="A6" s="18">
        <v>4</v>
      </c>
      <c r="B6" s="27" t="s">
        <v>38</v>
      </c>
      <c r="C6" s="19">
        <v>1056644</v>
      </c>
      <c r="D6" s="6" t="s">
        <v>25</v>
      </c>
      <c r="H6" t="s">
        <v>190</v>
      </c>
      <c r="I6">
        <f>COUNT(C3:C116)</f>
        <v>114</v>
      </c>
    </row>
    <row r="7" ht="14.25">
      <c r="A7" s="18">
        <v>5</v>
      </c>
      <c r="B7" s="27" t="s">
        <v>42</v>
      </c>
      <c r="C7" s="19">
        <v>982832</v>
      </c>
      <c r="D7" s="6" t="s">
        <v>30</v>
      </c>
    </row>
    <row r="8" ht="14.25">
      <c r="A8" s="18">
        <v>6</v>
      </c>
      <c r="B8" s="27" t="s">
        <v>46</v>
      </c>
      <c r="C8" s="19">
        <v>864392</v>
      </c>
      <c r="D8" s="6" t="s">
        <v>30</v>
      </c>
      <c r="H8" t="s">
        <v>191</v>
      </c>
      <c r="I8" s="28">
        <f>SUM(C3:C10)</f>
        <v>22991446</v>
      </c>
    </row>
    <row r="9" ht="14.25">
      <c r="A9" s="18">
        <v>7</v>
      </c>
      <c r="B9" s="27" t="s">
        <v>50</v>
      </c>
      <c r="C9" s="19">
        <v>855500</v>
      </c>
      <c r="D9" s="6" t="s">
        <v>30</v>
      </c>
      <c r="H9" t="s">
        <v>192</v>
      </c>
      <c r="I9" s="28">
        <f>SUM(C3,C10)</f>
        <v>11791829</v>
      </c>
    </row>
    <row r="10" ht="14.25">
      <c r="A10" s="18">
        <v>8</v>
      </c>
      <c r="B10" s="27" t="s">
        <v>53</v>
      </c>
      <c r="C10" s="19">
        <v>801580</v>
      </c>
      <c r="D10" s="6" t="s">
        <v>25</v>
      </c>
      <c r="H10" t="s">
        <v>193</v>
      </c>
      <c r="I10" s="28">
        <f>SUM(C3:C6,C10:C20)</f>
        <v>25735629</v>
      </c>
    </row>
    <row r="11" ht="14.25">
      <c r="A11" s="18">
        <v>9</v>
      </c>
      <c r="B11" s="27" t="s">
        <v>55</v>
      </c>
      <c r="C11" s="19">
        <v>713066</v>
      </c>
      <c r="D11" s="6" t="s">
        <v>25</v>
      </c>
    </row>
    <row r="12" ht="14.25">
      <c r="A12" s="18">
        <v>10</v>
      </c>
      <c r="B12" s="27" t="s">
        <v>57</v>
      </c>
      <c r="C12" s="19">
        <v>671696</v>
      </c>
      <c r="D12" s="6" t="s">
        <v>25</v>
      </c>
    </row>
    <row r="13" ht="14.25">
      <c r="A13" s="18">
        <v>11</v>
      </c>
      <c r="B13" s="27" t="s">
        <v>59</v>
      </c>
      <c r="C13" s="19">
        <v>636425</v>
      </c>
      <c r="D13" s="6" t="s">
        <v>25</v>
      </c>
    </row>
    <row r="14" ht="14.25">
      <c r="A14" s="18">
        <v>12</v>
      </c>
      <c r="B14" s="27" t="s">
        <v>61</v>
      </c>
      <c r="C14" s="19">
        <v>576312</v>
      </c>
      <c r="D14" s="6" t="s">
        <v>25</v>
      </c>
    </row>
    <row r="15" ht="14.25">
      <c r="A15" s="18">
        <v>13</v>
      </c>
      <c r="B15" s="27" t="s">
        <v>62</v>
      </c>
      <c r="C15" s="19">
        <v>558136</v>
      </c>
      <c r="D15" s="6" t="s">
        <v>25</v>
      </c>
    </row>
    <row r="16" ht="14.25">
      <c r="A16" s="18">
        <v>14</v>
      </c>
      <c r="B16" s="27" t="s">
        <v>63</v>
      </c>
      <c r="C16" s="19">
        <v>495694</v>
      </c>
      <c r="D16" s="6" t="s">
        <v>30</v>
      </c>
    </row>
    <row r="17" ht="14.25">
      <c r="A17" s="18">
        <v>15</v>
      </c>
      <c r="B17" s="27" t="s">
        <v>64</v>
      </c>
      <c r="C17" s="19">
        <v>477912</v>
      </c>
      <c r="D17" s="6" t="s">
        <v>30</v>
      </c>
    </row>
    <row r="18" ht="14.25">
      <c r="A18" s="18">
        <v>16</v>
      </c>
      <c r="B18" s="27" t="s">
        <v>65</v>
      </c>
      <c r="C18" s="19">
        <v>468309</v>
      </c>
      <c r="D18" s="6" t="s">
        <v>30</v>
      </c>
    </row>
    <row r="19" ht="14.25">
      <c r="A19" s="18">
        <v>17</v>
      </c>
      <c r="B19" s="27" t="s">
        <v>66</v>
      </c>
      <c r="C19" s="19">
        <v>431839</v>
      </c>
      <c r="D19" s="6" t="s">
        <v>30</v>
      </c>
    </row>
    <row r="20" ht="14.25">
      <c r="A20" s="18">
        <v>18</v>
      </c>
      <c r="B20" s="27" t="s">
        <v>67</v>
      </c>
      <c r="C20" s="19">
        <v>417518</v>
      </c>
      <c r="D20" s="6" t="s">
        <v>25</v>
      </c>
    </row>
    <row r="21" ht="14.25">
      <c r="A21" s="18">
        <v>19</v>
      </c>
      <c r="B21" s="27" t="s">
        <v>68</v>
      </c>
      <c r="C21" s="19">
        <v>414272</v>
      </c>
      <c r="D21" s="6" t="s">
        <v>25</v>
      </c>
    </row>
    <row r="22" ht="14.25">
      <c r="A22" s="18">
        <v>20</v>
      </c>
      <c r="B22" s="27" t="s">
        <v>69</v>
      </c>
      <c r="C22" s="19">
        <v>412753</v>
      </c>
      <c r="D22" s="6" t="s">
        <v>25</v>
      </c>
    </row>
    <row r="23" ht="14.25">
      <c r="A23" s="18">
        <v>21</v>
      </c>
      <c r="B23" s="27" t="s">
        <v>70</v>
      </c>
      <c r="C23" s="19">
        <v>394266</v>
      </c>
      <c r="D23" s="6" t="s">
        <v>25</v>
      </c>
    </row>
    <row r="24" ht="14.25">
      <c r="A24" s="18">
        <v>22</v>
      </c>
      <c r="B24" s="27" t="s">
        <v>71</v>
      </c>
      <c r="C24" s="19">
        <v>388532</v>
      </c>
      <c r="D24" s="6" t="s">
        <v>25</v>
      </c>
    </row>
    <row r="25" ht="14.25">
      <c r="A25" s="18">
        <v>23</v>
      </c>
      <c r="B25" s="27" t="s">
        <v>72</v>
      </c>
      <c r="C25" s="19">
        <v>371372</v>
      </c>
      <c r="D25" s="6" t="s">
        <v>25</v>
      </c>
    </row>
    <row r="26" ht="14.25">
      <c r="A26" s="18">
        <v>24</v>
      </c>
      <c r="B26" s="27" t="s">
        <v>73</v>
      </c>
      <c r="C26" s="19">
        <v>365440</v>
      </c>
      <c r="D26" s="6" t="s">
        <v>25</v>
      </c>
    </row>
    <row r="27" ht="14.25">
      <c r="A27" s="18">
        <v>25</v>
      </c>
      <c r="B27" s="27" t="s">
        <v>74</v>
      </c>
      <c r="C27" s="19">
        <v>355675</v>
      </c>
      <c r="D27" s="6" t="s">
        <v>25</v>
      </c>
    </row>
    <row r="28" ht="14.25">
      <c r="A28" s="18">
        <v>26</v>
      </c>
      <c r="B28" s="27" t="s">
        <v>75</v>
      </c>
      <c r="C28" s="19">
        <v>351493</v>
      </c>
      <c r="D28" s="6" t="s">
        <v>25</v>
      </c>
    </row>
    <row r="29" ht="14.25">
      <c r="A29" s="18">
        <v>27</v>
      </c>
      <c r="B29" s="27" t="s">
        <v>76</v>
      </c>
      <c r="C29" s="19">
        <v>347738</v>
      </c>
      <c r="D29" s="6" t="s">
        <v>25</v>
      </c>
    </row>
    <row r="30" ht="14.25">
      <c r="A30" s="18">
        <v>28</v>
      </c>
      <c r="B30" s="27" t="s">
        <v>77</v>
      </c>
      <c r="C30" s="19">
        <v>328522</v>
      </c>
      <c r="D30" s="6" t="s">
        <v>25</v>
      </c>
    </row>
    <row r="31" ht="14.25">
      <c r="A31" s="18">
        <v>29</v>
      </c>
      <c r="B31" s="27" t="s">
        <v>78</v>
      </c>
      <c r="C31" s="19">
        <v>327176</v>
      </c>
      <c r="D31" s="6" t="s">
        <v>25</v>
      </c>
    </row>
    <row r="32" ht="14.25">
      <c r="A32" s="18">
        <v>30</v>
      </c>
      <c r="B32" s="27" t="s">
        <v>79</v>
      </c>
      <c r="C32" s="19">
        <v>312766</v>
      </c>
      <c r="D32" s="6" t="s">
        <v>30</v>
      </c>
    </row>
    <row r="33" ht="14.25">
      <c r="A33" s="18">
        <v>31</v>
      </c>
      <c r="B33" s="27" t="s">
        <v>80</v>
      </c>
      <c r="C33" s="19">
        <v>304274</v>
      </c>
      <c r="D33" s="6" t="s">
        <v>25</v>
      </c>
    </row>
    <row r="34" ht="14.25">
      <c r="A34" s="18">
        <v>32</v>
      </c>
      <c r="B34" s="27" t="s">
        <v>81</v>
      </c>
      <c r="C34" s="19">
        <v>279394</v>
      </c>
      <c r="D34" s="6" t="s">
        <v>25</v>
      </c>
    </row>
    <row r="35" ht="14.25">
      <c r="A35" s="18">
        <v>33</v>
      </c>
      <c r="B35" s="27" t="s">
        <v>82</v>
      </c>
      <c r="C35" s="19">
        <v>278776</v>
      </c>
      <c r="D35" s="6" t="s">
        <v>25</v>
      </c>
    </row>
    <row r="36" ht="14.25">
      <c r="A36" s="18">
        <v>34</v>
      </c>
      <c r="B36" s="27" t="s">
        <v>83</v>
      </c>
      <c r="C36" s="19">
        <v>270918</v>
      </c>
      <c r="D36" s="6" t="s">
        <v>25</v>
      </c>
    </row>
    <row r="37" ht="14.25">
      <c r="A37" s="18">
        <v>35</v>
      </c>
      <c r="B37" s="27" t="s">
        <v>84</v>
      </c>
      <c r="C37" s="19">
        <v>264619</v>
      </c>
      <c r="D37" s="6" t="s">
        <v>25</v>
      </c>
    </row>
    <row r="38" ht="14.25">
      <c r="A38" s="18">
        <v>36</v>
      </c>
      <c r="B38" s="27" t="s">
        <v>85</v>
      </c>
      <c r="C38" s="19">
        <v>259811</v>
      </c>
      <c r="D38" s="6" t="s">
        <v>30</v>
      </c>
    </row>
    <row r="39" ht="14.25">
      <c r="A39" s="18">
        <v>37</v>
      </c>
      <c r="B39" s="27" t="s">
        <v>86</v>
      </c>
      <c r="C39" s="19">
        <v>245093</v>
      </c>
      <c r="D39" s="6" t="s">
        <v>25</v>
      </c>
    </row>
    <row r="40" ht="14.25">
      <c r="A40" s="18">
        <v>38</v>
      </c>
      <c r="B40" s="27" t="s">
        <v>87</v>
      </c>
      <c r="C40" s="19">
        <v>244533</v>
      </c>
      <c r="D40" s="6" t="s">
        <v>25</v>
      </c>
    </row>
    <row r="41" ht="14.25">
      <c r="A41" s="18">
        <v>39</v>
      </c>
      <c r="B41" s="27" t="s">
        <v>88</v>
      </c>
      <c r="C41" s="19">
        <v>240940</v>
      </c>
      <c r="D41" s="6" t="s">
        <v>30</v>
      </c>
    </row>
    <row r="42" ht="14.25">
      <c r="A42" s="18">
        <v>40</v>
      </c>
      <c r="B42" s="27" t="s">
        <v>89</v>
      </c>
      <c r="C42" s="19">
        <v>237135</v>
      </c>
      <c r="D42" s="6" t="s">
        <v>25</v>
      </c>
    </row>
    <row r="43" ht="14.25">
      <c r="A43" s="18">
        <v>41</v>
      </c>
      <c r="B43" s="27" t="s">
        <v>90</v>
      </c>
      <c r="C43" s="19">
        <v>225309</v>
      </c>
      <c r="D43" s="6" t="s">
        <v>30</v>
      </c>
    </row>
    <row r="44" ht="14.25">
      <c r="A44" s="18">
        <v>42</v>
      </c>
      <c r="B44" s="27" t="s">
        <v>91</v>
      </c>
      <c r="C44" s="19">
        <v>224757</v>
      </c>
      <c r="D44" s="6" t="s">
        <v>25</v>
      </c>
    </row>
    <row r="45" ht="14.25">
      <c r="A45" s="18">
        <v>43</v>
      </c>
      <c r="B45" s="27" t="s">
        <v>92</v>
      </c>
      <c r="C45" s="19">
        <v>223454</v>
      </c>
      <c r="D45" s="6" t="s">
        <v>25</v>
      </c>
    </row>
    <row r="46" ht="14.25">
      <c r="A46" s="18">
        <v>44</v>
      </c>
      <c r="B46" s="27" t="s">
        <v>93</v>
      </c>
      <c r="C46" s="19">
        <v>218080</v>
      </c>
      <c r="D46" s="6" t="s">
        <v>25</v>
      </c>
    </row>
    <row r="47" ht="14.25">
      <c r="A47" s="18">
        <v>45</v>
      </c>
      <c r="B47" s="27" t="s">
        <v>94</v>
      </c>
      <c r="C47" s="19">
        <v>210988</v>
      </c>
      <c r="D47" s="6" t="s">
        <v>25</v>
      </c>
    </row>
    <row r="48" ht="14.25">
      <c r="A48" s="18">
        <v>46</v>
      </c>
      <c r="B48" s="27" t="s">
        <v>95</v>
      </c>
      <c r="C48" s="19">
        <v>206164</v>
      </c>
      <c r="D48" s="6" t="s">
        <v>25</v>
      </c>
    </row>
    <row r="49" ht="14.25">
      <c r="A49" s="18">
        <v>47</v>
      </c>
      <c r="B49" s="27" t="s">
        <v>96</v>
      </c>
      <c r="C49" s="19">
        <v>203283</v>
      </c>
      <c r="D49" s="6" t="s">
        <v>25</v>
      </c>
    </row>
    <row r="50" ht="14.25">
      <c r="A50" s="18">
        <v>48</v>
      </c>
      <c r="B50" s="27" t="s">
        <v>97</v>
      </c>
      <c r="C50" s="19">
        <v>201995</v>
      </c>
      <c r="D50" s="6" t="s">
        <v>25</v>
      </c>
    </row>
    <row r="51" ht="14.25">
      <c r="A51" s="18">
        <v>49</v>
      </c>
      <c r="B51" s="27" t="s">
        <v>98</v>
      </c>
      <c r="C51" s="19">
        <v>201049</v>
      </c>
      <c r="D51" s="6" t="s">
        <v>25</v>
      </c>
    </row>
    <row r="52" ht="14.25">
      <c r="A52" s="18">
        <v>50</v>
      </c>
      <c r="B52" s="27" t="s">
        <v>99</v>
      </c>
      <c r="C52" s="19">
        <v>199132</v>
      </c>
      <c r="D52" s="6" t="s">
        <v>25</v>
      </c>
    </row>
    <row r="53" ht="14.25">
      <c r="A53" s="18">
        <v>51</v>
      </c>
      <c r="B53" s="27" t="s">
        <v>100</v>
      </c>
      <c r="C53" s="19">
        <v>189834</v>
      </c>
      <c r="D53" s="6" t="s">
        <v>25</v>
      </c>
    </row>
    <row r="54" ht="14.25">
      <c r="A54" s="18">
        <v>52</v>
      </c>
      <c r="B54" s="27" t="s">
        <v>101</v>
      </c>
      <c r="C54" s="19">
        <v>188787</v>
      </c>
      <c r="D54" s="6" t="s">
        <v>30</v>
      </c>
    </row>
    <row r="55" ht="14.25">
      <c r="A55" s="18">
        <v>53</v>
      </c>
      <c r="B55" s="27" t="s">
        <v>102</v>
      </c>
      <c r="C55" s="19">
        <v>187949</v>
      </c>
      <c r="D55" s="6" t="s">
        <v>30</v>
      </c>
    </row>
    <row r="56" ht="14.25">
      <c r="A56" s="18">
        <v>54</v>
      </c>
      <c r="B56" s="27" t="s">
        <v>103</v>
      </c>
      <c r="C56" s="19">
        <v>187908</v>
      </c>
      <c r="D56" s="6" t="s">
        <v>25</v>
      </c>
    </row>
    <row r="57" ht="14.25">
      <c r="A57" s="18">
        <v>55</v>
      </c>
      <c r="B57" s="27" t="s">
        <v>104</v>
      </c>
      <c r="C57" s="19">
        <v>181143</v>
      </c>
      <c r="D57" s="6" t="s">
        <v>25</v>
      </c>
    </row>
    <row r="58" ht="14.25">
      <c r="A58" s="18">
        <v>56</v>
      </c>
      <c r="B58" s="27" t="s">
        <v>105</v>
      </c>
      <c r="C58" s="19">
        <v>180635</v>
      </c>
      <c r="D58" s="6" t="s">
        <v>30</v>
      </c>
    </row>
    <row r="59" ht="14.25">
      <c r="A59" s="18">
        <v>57</v>
      </c>
      <c r="B59" s="27" t="s">
        <v>106</v>
      </c>
      <c r="C59" s="19">
        <v>180524</v>
      </c>
      <c r="D59" s="6" t="s">
        <v>25</v>
      </c>
    </row>
    <row r="60" ht="14.25">
      <c r="A60" s="18">
        <v>58</v>
      </c>
      <c r="B60" s="27" t="s">
        <v>107</v>
      </c>
      <c r="C60" s="19">
        <v>179109</v>
      </c>
      <c r="D60" s="6" t="s">
        <v>25</v>
      </c>
    </row>
    <row r="61" ht="14.25">
      <c r="A61" s="18">
        <v>59</v>
      </c>
      <c r="B61" s="27" t="s">
        <v>108</v>
      </c>
      <c r="C61" s="19">
        <v>178310</v>
      </c>
      <c r="D61" s="6" t="s">
        <v>30</v>
      </c>
    </row>
    <row r="62" ht="14.25">
      <c r="A62" s="18">
        <v>60</v>
      </c>
      <c r="B62" s="27" t="s">
        <v>109</v>
      </c>
      <c r="C62" s="19">
        <v>176469</v>
      </c>
      <c r="D62" s="6" t="s">
        <v>30</v>
      </c>
    </row>
    <row r="63" ht="14.25">
      <c r="A63" s="18">
        <v>61</v>
      </c>
      <c r="B63" s="27" t="s">
        <v>110</v>
      </c>
      <c r="C63" s="19">
        <v>175939</v>
      </c>
      <c r="D63" s="6" t="s">
        <v>25</v>
      </c>
    </row>
    <row r="64" ht="14.25">
      <c r="A64" s="18">
        <v>62</v>
      </c>
      <c r="B64" s="27" t="s">
        <v>111</v>
      </c>
      <c r="C64" s="19">
        <v>164191</v>
      </c>
      <c r="D64" s="6" t="s">
        <v>30</v>
      </c>
    </row>
    <row r="65" ht="14.25">
      <c r="A65" s="18">
        <v>63</v>
      </c>
      <c r="B65" s="27" t="s">
        <v>112</v>
      </c>
      <c r="C65" s="19">
        <v>159968</v>
      </c>
      <c r="D65" s="6" t="s">
        <v>30</v>
      </c>
    </row>
    <row r="66" ht="14.25">
      <c r="A66" s="18">
        <v>64</v>
      </c>
      <c r="B66" s="27" t="s">
        <v>113</v>
      </c>
      <c r="C66" s="19">
        <v>159102</v>
      </c>
      <c r="D66" s="6" t="s">
        <v>25</v>
      </c>
    </row>
    <row r="67" ht="14.25">
      <c r="A67" s="18">
        <v>65</v>
      </c>
      <c r="B67" s="27" t="s">
        <v>114</v>
      </c>
      <c r="C67" s="19">
        <v>159005</v>
      </c>
      <c r="D67" s="6" t="s">
        <v>30</v>
      </c>
    </row>
    <row r="68" ht="14.25">
      <c r="A68" s="18">
        <v>66</v>
      </c>
      <c r="B68" s="27" t="s">
        <v>115</v>
      </c>
      <c r="C68" s="19">
        <v>155457</v>
      </c>
      <c r="D68" s="6" t="s">
        <v>25</v>
      </c>
    </row>
    <row r="69" ht="14.25">
      <c r="A69" s="18">
        <v>67</v>
      </c>
      <c r="B69" s="27" t="s">
        <v>116</v>
      </c>
      <c r="C69" s="19">
        <v>155224</v>
      </c>
      <c r="D69" s="6" t="s">
        <v>25</v>
      </c>
    </row>
    <row r="70" ht="14.25">
      <c r="A70" s="18">
        <v>68</v>
      </c>
      <c r="B70" s="27" t="s">
        <v>117</v>
      </c>
      <c r="C70" s="19">
        <v>151103</v>
      </c>
      <c r="D70" s="6" t="s">
        <v>25</v>
      </c>
    </row>
    <row r="71" ht="14.25">
      <c r="A71" s="18">
        <v>69</v>
      </c>
      <c r="B71" s="27" t="s">
        <v>118</v>
      </c>
      <c r="C71" s="19">
        <v>146760</v>
      </c>
      <c r="D71" s="6" t="s">
        <v>25</v>
      </c>
    </row>
    <row r="72" ht="14.25">
      <c r="A72" s="18">
        <v>70</v>
      </c>
      <c r="B72" s="27" t="s">
        <v>119</v>
      </c>
      <c r="C72" s="19">
        <v>144066</v>
      </c>
      <c r="D72" s="6" t="s">
        <v>25</v>
      </c>
    </row>
    <row r="73" ht="14.25">
      <c r="A73" s="18">
        <v>71</v>
      </c>
      <c r="B73" s="27" t="s">
        <v>120</v>
      </c>
      <c r="C73" s="19">
        <v>142997</v>
      </c>
      <c r="D73" s="6" t="s">
        <v>25</v>
      </c>
    </row>
    <row r="74" ht="14.25">
      <c r="A74" s="18">
        <v>72</v>
      </c>
      <c r="B74" s="27" t="s">
        <v>121</v>
      </c>
      <c r="C74" s="19">
        <v>138494</v>
      </c>
      <c r="D74" s="6" t="s">
        <v>25</v>
      </c>
    </row>
    <row r="75" ht="14.25">
      <c r="A75" s="18">
        <v>73</v>
      </c>
      <c r="B75" s="27" t="s">
        <v>122</v>
      </c>
      <c r="C75" s="19">
        <v>137870</v>
      </c>
      <c r="D75" s="6" t="s">
        <v>30</v>
      </c>
    </row>
    <row r="76" ht="14.25">
      <c r="A76" s="18">
        <v>74</v>
      </c>
      <c r="B76" s="27" t="s">
        <v>123</v>
      </c>
      <c r="C76" s="19">
        <v>133469</v>
      </c>
      <c r="D76" s="6" t="s">
        <v>25</v>
      </c>
    </row>
    <row r="77" ht="14.25">
      <c r="A77" s="18">
        <v>75</v>
      </c>
      <c r="B77" s="27" t="s">
        <v>124</v>
      </c>
      <c r="C77" s="19">
        <v>129304</v>
      </c>
      <c r="D77" s="6" t="s">
        <v>25</v>
      </c>
    </row>
    <row r="78" ht="14.25">
      <c r="A78" s="18">
        <v>76</v>
      </c>
      <c r="B78" s="27" t="s">
        <v>125</v>
      </c>
      <c r="C78" s="19">
        <v>128397</v>
      </c>
      <c r="D78" s="6" t="s">
        <v>25</v>
      </c>
    </row>
    <row r="79" ht="14.25">
      <c r="A79" s="18">
        <v>77</v>
      </c>
      <c r="B79" s="27" t="s">
        <v>126</v>
      </c>
      <c r="C79" s="19">
        <v>127763</v>
      </c>
      <c r="D79" s="6" t="s">
        <v>30</v>
      </c>
    </row>
    <row r="80" ht="14.25">
      <c r="A80" s="18">
        <v>78</v>
      </c>
      <c r="B80" s="27" t="s">
        <v>127</v>
      </c>
      <c r="C80" s="19">
        <v>127702</v>
      </c>
      <c r="D80" s="6" t="s">
        <v>25</v>
      </c>
    </row>
    <row r="81" ht="14.25">
      <c r="A81" s="18">
        <v>79</v>
      </c>
      <c r="B81" s="27" t="s">
        <v>128</v>
      </c>
      <c r="C81" s="19">
        <v>125418</v>
      </c>
      <c r="D81" s="6" t="s">
        <v>25</v>
      </c>
    </row>
    <row r="82" ht="14.25">
      <c r="A82" s="18">
        <v>80</v>
      </c>
      <c r="B82" s="27" t="s">
        <v>129</v>
      </c>
      <c r="C82" s="19">
        <v>119231</v>
      </c>
      <c r="D82" s="6" t="s">
        <v>30</v>
      </c>
    </row>
    <row r="83" ht="14.25">
      <c r="A83" s="18">
        <v>81</v>
      </c>
      <c r="B83" s="27" t="s">
        <v>130</v>
      </c>
      <c r="C83" s="19">
        <v>114069</v>
      </c>
      <c r="D83" s="6" t="s">
        <v>25</v>
      </c>
    </row>
    <row r="84" ht="14.25">
      <c r="A84" s="18">
        <v>82</v>
      </c>
      <c r="B84" s="27" t="s">
        <v>131</v>
      </c>
      <c r="C84" s="19">
        <v>113645</v>
      </c>
      <c r="D84" s="6" t="s">
        <v>25</v>
      </c>
    </row>
    <row r="85" ht="14.25">
      <c r="A85" s="18">
        <v>83</v>
      </c>
      <c r="B85" s="27" t="s">
        <v>132</v>
      </c>
      <c r="C85" s="19">
        <v>112804</v>
      </c>
      <c r="D85" s="6" t="s">
        <v>25</v>
      </c>
    </row>
    <row r="86" ht="14.25">
      <c r="A86" s="18">
        <v>84</v>
      </c>
      <c r="B86" s="27" t="s">
        <v>133</v>
      </c>
      <c r="C86" s="19">
        <v>112596</v>
      </c>
      <c r="D86" s="6" t="s">
        <v>25</v>
      </c>
    </row>
    <row r="87" ht="14.25">
      <c r="A87" s="18">
        <v>85</v>
      </c>
      <c r="B87" s="27" t="s">
        <v>134</v>
      </c>
      <c r="C87" s="19">
        <v>111402</v>
      </c>
      <c r="D87" s="6" t="s">
        <v>25</v>
      </c>
    </row>
    <row r="88" ht="14.25">
      <c r="A88" s="18">
        <v>86</v>
      </c>
      <c r="B88" s="27" t="s">
        <v>135</v>
      </c>
      <c r="C88" s="19">
        <v>111016</v>
      </c>
      <c r="D88" s="6" t="s">
        <v>25</v>
      </c>
    </row>
    <row r="89" ht="14.25">
      <c r="A89" s="18">
        <v>87</v>
      </c>
      <c r="B89" s="27" t="s">
        <v>136</v>
      </c>
      <c r="C89" s="19">
        <v>110730</v>
      </c>
      <c r="D89" s="6" t="s">
        <v>25</v>
      </c>
    </row>
    <row r="90" ht="14.25">
      <c r="A90" s="18">
        <v>88</v>
      </c>
      <c r="B90" s="27" t="s">
        <v>137</v>
      </c>
      <c r="C90" s="19">
        <v>110325</v>
      </c>
      <c r="D90" s="6" t="s">
        <v>25</v>
      </c>
    </row>
    <row r="91" ht="14.25">
      <c r="A91" s="18">
        <v>89</v>
      </c>
      <c r="B91" s="27" t="s">
        <v>138</v>
      </c>
      <c r="C91" s="19">
        <v>107285</v>
      </c>
      <c r="D91" s="6" t="s">
        <v>30</v>
      </c>
    </row>
    <row r="92" ht="14.25">
      <c r="A92" s="18">
        <v>90</v>
      </c>
      <c r="B92" s="27" t="s">
        <v>139</v>
      </c>
      <c r="C92" s="19">
        <v>103515</v>
      </c>
      <c r="D92" s="6" t="s">
        <v>30</v>
      </c>
    </row>
    <row r="93" ht="14.25">
      <c r="A93" s="18">
        <v>91</v>
      </c>
      <c r="B93" s="27" t="s">
        <v>140</v>
      </c>
      <c r="C93" s="19">
        <v>102487</v>
      </c>
      <c r="D93" s="6" t="s">
        <v>30</v>
      </c>
    </row>
    <row r="94" ht="14.25">
      <c r="A94" s="18">
        <v>92</v>
      </c>
      <c r="B94" s="27" t="s">
        <v>141</v>
      </c>
      <c r="C94" s="19">
        <v>100055</v>
      </c>
      <c r="D94" s="6" t="s">
        <v>30</v>
      </c>
    </row>
    <row r="95" ht="14.25">
      <c r="A95" s="18">
        <v>93</v>
      </c>
      <c r="B95" s="27" t="s">
        <v>142</v>
      </c>
      <c r="C95" s="19">
        <v>98347</v>
      </c>
      <c r="D95" s="6" t="s">
        <v>30</v>
      </c>
    </row>
    <row r="96" ht="14.25">
      <c r="A96" s="18">
        <v>94</v>
      </c>
      <c r="B96" s="27" t="s">
        <v>143</v>
      </c>
      <c r="C96" s="19">
        <v>91085</v>
      </c>
      <c r="D96" s="6" t="s">
        <v>30</v>
      </c>
    </row>
    <row r="97" ht="14.25">
      <c r="A97" s="18">
        <v>95</v>
      </c>
      <c r="B97" s="27" t="s">
        <v>144</v>
      </c>
      <c r="C97" s="19">
        <v>82951</v>
      </c>
      <c r="D97" s="6" t="s">
        <v>30</v>
      </c>
    </row>
    <row r="98" ht="14.25">
      <c r="A98" s="18">
        <v>96</v>
      </c>
      <c r="B98" s="27" t="s">
        <v>145</v>
      </c>
      <c r="C98" s="19">
        <v>77618</v>
      </c>
      <c r="D98" s="6" t="s">
        <v>30</v>
      </c>
    </row>
    <row r="99" ht="14.25">
      <c r="A99" s="18">
        <v>97</v>
      </c>
      <c r="B99" s="27" t="s">
        <v>146</v>
      </c>
      <c r="C99" s="19">
        <v>75754</v>
      </c>
      <c r="D99" s="6" t="s">
        <v>30</v>
      </c>
    </row>
    <row r="100" ht="14.25">
      <c r="A100" s="18">
        <v>98</v>
      </c>
      <c r="B100" s="27" t="s">
        <v>147</v>
      </c>
      <c r="C100" s="19">
        <v>74993</v>
      </c>
      <c r="D100" s="6" t="s">
        <v>30</v>
      </c>
    </row>
    <row r="101" ht="14.25">
      <c r="A101" s="18">
        <v>99</v>
      </c>
      <c r="B101" s="27" t="s">
        <v>148</v>
      </c>
      <c r="C101" s="19">
        <v>67853</v>
      </c>
      <c r="D101" s="6" t="s">
        <v>30</v>
      </c>
    </row>
    <row r="102" ht="14.25">
      <c r="A102" s="18">
        <v>100</v>
      </c>
      <c r="B102" s="27" t="s">
        <v>149</v>
      </c>
      <c r="C102" s="19">
        <v>56529</v>
      </c>
      <c r="D102" s="6" t="s">
        <v>30</v>
      </c>
    </row>
    <row r="103" ht="14.25">
      <c r="A103" s="18">
        <v>101</v>
      </c>
      <c r="B103" s="27" t="s">
        <v>150</v>
      </c>
      <c r="C103" s="19">
        <v>54596</v>
      </c>
      <c r="D103" s="6" t="s">
        <v>30</v>
      </c>
    </row>
    <row r="104" ht="14.25">
      <c r="A104" s="18">
        <v>102</v>
      </c>
      <c r="B104" s="27" t="s">
        <v>151</v>
      </c>
      <c r="C104" s="19">
        <v>48688</v>
      </c>
      <c r="D104" s="6" t="s">
        <v>30</v>
      </c>
    </row>
    <row r="105" ht="14.25">
      <c r="A105" s="18">
        <v>103</v>
      </c>
      <c r="B105" s="27" t="s">
        <v>152</v>
      </c>
      <c r="C105" s="19">
        <v>47247</v>
      </c>
      <c r="D105" s="6" t="s">
        <v>30</v>
      </c>
    </row>
    <row r="106" ht="14.25">
      <c r="A106" s="18">
        <v>104</v>
      </c>
      <c r="B106" s="27" t="s">
        <v>153</v>
      </c>
      <c r="C106" s="19">
        <v>44629</v>
      </c>
      <c r="D106" s="6" t="s">
        <v>30</v>
      </c>
    </row>
    <row r="107" ht="14.25">
      <c r="A107" s="18">
        <v>105</v>
      </c>
      <c r="B107" s="27" t="s">
        <v>154</v>
      </c>
      <c r="C107" s="19">
        <v>42093</v>
      </c>
      <c r="D107" s="6" t="s">
        <v>30</v>
      </c>
    </row>
    <row r="108" ht="14.25">
      <c r="A108" s="18">
        <v>106</v>
      </c>
      <c r="B108" s="27" t="s">
        <v>155</v>
      </c>
      <c r="C108" s="19">
        <v>41315</v>
      </c>
      <c r="D108" s="6" t="s">
        <v>30</v>
      </c>
    </row>
    <row r="109" ht="14.25">
      <c r="A109" s="18">
        <v>107</v>
      </c>
      <c r="B109" s="27" t="s">
        <v>156</v>
      </c>
      <c r="C109" s="19">
        <v>39057</v>
      </c>
      <c r="D109" s="6" t="s">
        <v>30</v>
      </c>
    </row>
    <row r="110" ht="14.25">
      <c r="A110" s="18">
        <v>108</v>
      </c>
      <c r="B110" s="27" t="s">
        <v>157</v>
      </c>
      <c r="C110" s="19">
        <v>35182</v>
      </c>
      <c r="D110" s="6" t="s">
        <v>30</v>
      </c>
    </row>
    <row r="111" ht="14.25">
      <c r="A111" s="18">
        <v>109</v>
      </c>
      <c r="B111" s="27" t="s">
        <v>158</v>
      </c>
      <c r="C111" s="19">
        <v>35178</v>
      </c>
      <c r="D111" s="6" t="s">
        <v>30</v>
      </c>
    </row>
    <row r="112" ht="14.25">
      <c r="A112" s="18">
        <v>110</v>
      </c>
      <c r="B112" s="27" t="s">
        <v>159</v>
      </c>
      <c r="C112" s="19">
        <v>34595</v>
      </c>
      <c r="D112" s="6" t="s">
        <v>30</v>
      </c>
    </row>
    <row r="113" ht="14.25">
      <c r="A113" s="18">
        <v>111</v>
      </c>
      <c r="B113" s="27" t="s">
        <v>160</v>
      </c>
      <c r="C113" s="19">
        <v>34024</v>
      </c>
      <c r="D113" s="6" t="s">
        <v>30</v>
      </c>
    </row>
    <row r="114" ht="14.25">
      <c r="A114" s="18">
        <v>112</v>
      </c>
      <c r="B114" s="27" t="s">
        <v>161</v>
      </c>
      <c r="C114" s="19">
        <v>31848</v>
      </c>
      <c r="D114" s="6" t="s">
        <v>30</v>
      </c>
    </row>
    <row r="115" ht="14.25">
      <c r="A115" s="18">
        <v>113</v>
      </c>
      <c r="B115" s="27" t="s">
        <v>162</v>
      </c>
      <c r="C115" s="19">
        <v>30348</v>
      </c>
      <c r="D115" s="6" t="s">
        <v>30</v>
      </c>
    </row>
    <row r="116" ht="14.25">
      <c r="A116" s="18">
        <v>114</v>
      </c>
      <c r="B116" s="27" t="s">
        <v>163</v>
      </c>
      <c r="C116" s="19">
        <v>30139</v>
      </c>
      <c r="D116" s="6" t="s">
        <v>30</v>
      </c>
    </row>
    <row r="117" ht="14.25">
      <c r="A117" s="27"/>
      <c r="B117" s="27"/>
      <c r="C117" s="10"/>
      <c r="D117" s="27"/>
    </row>
  </sheetData>
  <mergeCells count="1">
    <mergeCell ref="A1:D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7" tint="0.59999389629810485"/>
    <outlinePr applyStyles="0" summaryBelow="1" summaryRight="1" showOutlineSymbols="1"/>
    <pageSetUpPr autoPageBreaks="1" fitToPage="0"/>
  </sheetPr>
  <sheetViews>
    <sheetView showGridLines="0" showRowColHeaders="0" showZeros="0" zoomScale="100" workbookViewId="0">
      <selection activeCell="A1" activeCellId="0" sqref="A1"/>
    </sheetView>
  </sheetViews>
  <sheetFormatPr defaultRowHeight="15"/>
  <cols>
    <col bestFit="1" min="2" max="2" width="25.11328125"/>
    <col bestFit="1" min="3" max="3" width="10.6015625"/>
    <col bestFit="1" min="4" max="4" style="29" width="6.57421875"/>
    <col min="5" max="5" style="29" width="9.140625"/>
    <col bestFit="1" min="6" max="6" style="29" width="11.703125"/>
    <col bestFit="1" customWidth="1" min="8" max="8" width="22.921875"/>
    <col bestFit="1" min="9" max="9" width="22.40234375"/>
  </cols>
  <sheetData>
    <row r="1">
      <c r="A1" s="30" t="s">
        <v>17</v>
      </c>
      <c r="B1" s="30"/>
      <c r="C1" s="30"/>
      <c r="D1" s="30"/>
      <c r="E1" s="30"/>
      <c r="F1" s="30"/>
    </row>
    <row r="2">
      <c r="A2" s="31" t="s">
        <v>18</v>
      </c>
      <c r="B2" s="32" t="s">
        <v>19</v>
      </c>
      <c r="C2" s="33" t="s">
        <v>14</v>
      </c>
      <c r="D2" s="34" t="s">
        <v>20</v>
      </c>
      <c r="E2" s="34" t="s">
        <v>194</v>
      </c>
      <c r="F2" s="34" t="s">
        <v>195</v>
      </c>
      <c r="H2" s="35" t="s">
        <v>196</v>
      </c>
      <c r="I2" s="35" t="s">
        <v>197</v>
      </c>
    </row>
    <row r="3">
      <c r="A3" s="36">
        <v>1</v>
      </c>
      <c r="B3" s="37" t="s">
        <v>24</v>
      </c>
      <c r="C3" s="38">
        <v>10990249</v>
      </c>
      <c r="D3" s="39" t="s">
        <v>25</v>
      </c>
      <c r="E3" s="40" t="str">
        <f>IF(D3="SP","Paulista","Carioca")</f>
        <v>Paulista</v>
      </c>
      <c r="F3" s="40" t="str">
        <f>IF(C3&gt;500000,"Grande","Pequeno")</f>
        <v>Grande</v>
      </c>
      <c r="H3" s="41">
        <f>SUMIF(Estado,"=RJ",População)</f>
        <v>15143940</v>
      </c>
      <c r="I3" s="41">
        <f>SUMIF(Estado,"=SP",População)</f>
        <v>29600248</v>
      </c>
    </row>
    <row r="4">
      <c r="A4" s="36">
        <v>2</v>
      </c>
      <c r="B4" s="37" t="s">
        <v>29</v>
      </c>
      <c r="C4" s="38">
        <v>6161047</v>
      </c>
      <c r="D4" s="42" t="s">
        <v>30</v>
      </c>
      <c r="E4" s="40" t="str">
        <f>IF(D4="SP","Paulista","Carioca")</f>
        <v>Carioca</v>
      </c>
      <c r="F4" s="40" t="str">
        <f>IF(C4&gt;500000,"Grande","Pequeno")</f>
        <v>Grande</v>
      </c>
    </row>
    <row r="5">
      <c r="A5" s="36">
        <v>3</v>
      </c>
      <c r="B5" s="37" t="s">
        <v>34</v>
      </c>
      <c r="C5" s="38">
        <v>1279202</v>
      </c>
      <c r="D5" s="39" t="s">
        <v>25</v>
      </c>
      <c r="E5" s="40" t="str">
        <f>IF(D5="SP","Paulista","Carioca")</f>
        <v>Paulista</v>
      </c>
      <c r="F5" s="40" t="str">
        <f>IF(C5&gt;500000,"Grande","Pequeno")</f>
        <v>Grande</v>
      </c>
      <c r="H5" s="35" t="s">
        <v>198</v>
      </c>
      <c r="I5" s="35" t="s">
        <v>199</v>
      </c>
    </row>
    <row r="6">
      <c r="A6" s="36">
        <v>4</v>
      </c>
      <c r="B6" s="37" t="s">
        <v>38</v>
      </c>
      <c r="C6" s="38">
        <v>1056644</v>
      </c>
      <c r="D6" s="39" t="s">
        <v>25</v>
      </c>
      <c r="E6" s="40" t="str">
        <f>IF(D6="SP","Paulista","Carioca")</f>
        <v>Paulista</v>
      </c>
      <c r="F6" s="40" t="str">
        <f>IF(C6&gt;500000,"Grande","Pequeno")</f>
        <v>Grande</v>
      </c>
      <c r="H6" s="35">
        <f>COUNTIF(Estado,"=RJ")</f>
        <v>49</v>
      </c>
      <c r="I6" s="35">
        <f>COUNTIF(Estado,"SP")</f>
        <v>65</v>
      </c>
    </row>
    <row r="7">
      <c r="A7" s="36">
        <v>5</v>
      </c>
      <c r="B7" s="37" t="s">
        <v>42</v>
      </c>
      <c r="C7" s="38">
        <v>982832</v>
      </c>
      <c r="D7" s="39" t="s">
        <v>30</v>
      </c>
      <c r="E7" s="40" t="str">
        <f>IF(D7="SP","Paulista","Carioca")</f>
        <v>Carioca</v>
      </c>
      <c r="F7" s="40" t="str">
        <f>IF(C7&gt;500000,"Grande","Pequeno")</f>
        <v>Grande</v>
      </c>
    </row>
    <row r="8">
      <c r="A8" s="36">
        <v>6</v>
      </c>
      <c r="B8" s="37" t="s">
        <v>46</v>
      </c>
      <c r="C8" s="38">
        <v>864392</v>
      </c>
      <c r="D8" s="39" t="s">
        <v>30</v>
      </c>
      <c r="E8" s="40" t="str">
        <f>IF(D8="SP","Paulista","Carioca")</f>
        <v>Carioca</v>
      </c>
      <c r="F8" s="40" t="str">
        <f>IF(C8&gt;500000,"Grande","Pequeno")</f>
        <v>Grande</v>
      </c>
    </row>
    <row r="9">
      <c r="A9" s="36">
        <v>7</v>
      </c>
      <c r="B9" s="37" t="s">
        <v>50</v>
      </c>
      <c r="C9" s="38">
        <v>855500</v>
      </c>
      <c r="D9" s="39" t="s">
        <v>30</v>
      </c>
      <c r="E9" s="40" t="str">
        <f>IF(D9="SP","Paulista","Carioca")</f>
        <v>Carioca</v>
      </c>
      <c r="F9" s="40" t="str">
        <f>IF(C9&gt;500000,"Grande","Pequeno")</f>
        <v>Grande</v>
      </c>
      <c r="H9" s="35" t="s">
        <v>200</v>
      </c>
      <c r="I9" s="35" t="s">
        <v>201</v>
      </c>
    </row>
    <row r="10">
      <c r="A10" s="36">
        <v>8</v>
      </c>
      <c r="B10" s="37" t="s">
        <v>53</v>
      </c>
      <c r="C10" s="38">
        <v>801580</v>
      </c>
      <c r="D10" s="39" t="s">
        <v>25</v>
      </c>
      <c r="E10" s="40" t="str">
        <f>IF(D10="SP","Paulista","Carioca")</f>
        <v>Paulista</v>
      </c>
      <c r="F10" s="40" t="str">
        <f>IF(C10&gt;500000,"Grande","Pequeno")</f>
        <v>Grande</v>
      </c>
      <c r="H10" s="43">
        <f>AVERAGEIF(D3:D116,"=RJ",C3:C116)</f>
        <v>309060</v>
      </c>
      <c r="I10" s="43">
        <f>AVERAGEIF(D3:D116,"=SP",C3:C116)</f>
        <v>455388.43076923076</v>
      </c>
    </row>
    <row r="11">
      <c r="A11" s="36">
        <v>9</v>
      </c>
      <c r="B11" s="37" t="s">
        <v>55</v>
      </c>
      <c r="C11" s="38">
        <v>713066</v>
      </c>
      <c r="D11" s="39" t="s">
        <v>25</v>
      </c>
      <c r="E11" s="40" t="str">
        <f>IF(D11="SP","Paulista","Carioca")</f>
        <v>Paulista</v>
      </c>
      <c r="F11" s="40" t="str">
        <f>IF(C11&gt;500000,"Grande","Pequeno")</f>
        <v>Grande</v>
      </c>
    </row>
    <row r="12">
      <c r="A12" s="36">
        <v>10</v>
      </c>
      <c r="B12" s="37" t="s">
        <v>57</v>
      </c>
      <c r="C12" s="38">
        <v>671696</v>
      </c>
      <c r="D12" s="39" t="s">
        <v>25</v>
      </c>
      <c r="E12" s="40" t="str">
        <f>IF(D12="SP","Paulista","Carioca")</f>
        <v>Paulista</v>
      </c>
      <c r="F12" s="40" t="str">
        <f>IF(C12&gt;500000,"Grande","Pequeno")</f>
        <v>Grande</v>
      </c>
      <c r="H12" s="35" t="s">
        <v>202</v>
      </c>
      <c r="I12" s="44" t="s">
        <v>203</v>
      </c>
    </row>
    <row r="13">
      <c r="A13" s="36">
        <v>11</v>
      </c>
      <c r="B13" s="37" t="s">
        <v>59</v>
      </c>
      <c r="C13" s="38">
        <v>636425</v>
      </c>
      <c r="D13" s="39" t="s">
        <v>25</v>
      </c>
      <c r="E13" s="40" t="str">
        <f>IF(D13="SP","Paulista","Carioca")</f>
        <v>Paulista</v>
      </c>
      <c r="F13" s="40" t="str">
        <f>IF(C13&gt;500000,"Grande","Pequeno")</f>
        <v>Grande</v>
      </c>
      <c r="H13" s="35">
        <f>COUNTIFS(Estado,"=RJ",População,"&gt;500000")</f>
        <v>4</v>
      </c>
      <c r="I13" s="35">
        <f>COUNTIFS(Estado,"=SP",População,"&gt;500000")</f>
        <v>9</v>
      </c>
    </row>
    <row r="14">
      <c r="A14" s="36">
        <v>12</v>
      </c>
      <c r="B14" s="37" t="s">
        <v>61</v>
      </c>
      <c r="C14" s="38">
        <v>576312</v>
      </c>
      <c r="D14" s="39" t="s">
        <v>25</v>
      </c>
      <c r="E14" s="40" t="str">
        <f>IF(D14="SP","Paulista","Carioca")</f>
        <v>Paulista</v>
      </c>
      <c r="F14" s="40" t="str">
        <f>IF(C14&gt;500000,"Grande","Pequeno")</f>
        <v>Grande</v>
      </c>
    </row>
    <row r="15">
      <c r="A15" s="36">
        <v>13</v>
      </c>
      <c r="B15" s="37" t="s">
        <v>62</v>
      </c>
      <c r="C15" s="38">
        <v>558136</v>
      </c>
      <c r="D15" s="39" t="s">
        <v>25</v>
      </c>
      <c r="E15" s="40" t="str">
        <f>IF(D15="SP","Paulista","Carioca")</f>
        <v>Paulista</v>
      </c>
      <c r="F15" s="40" t="str">
        <f>IF(C15&gt;500000,"Grande","Pequeno")</f>
        <v>Grande</v>
      </c>
    </row>
    <row r="16">
      <c r="A16" s="36">
        <v>14</v>
      </c>
      <c r="B16" s="37" t="s">
        <v>63</v>
      </c>
      <c r="C16" s="38">
        <v>495694</v>
      </c>
      <c r="D16" s="39" t="s">
        <v>30</v>
      </c>
      <c r="E16" s="40" t="str">
        <f>IF(D16="SP","Paulista","Carioca")</f>
        <v>Carioca</v>
      </c>
      <c r="F16" s="40" t="str">
        <f>IF(C16&gt;500000,"Grande","Pequeno")</f>
        <v>Pequeno</v>
      </c>
    </row>
    <row r="17">
      <c r="A17" s="36">
        <v>15</v>
      </c>
      <c r="B17" s="37" t="s">
        <v>64</v>
      </c>
      <c r="C17" s="38">
        <v>477912</v>
      </c>
      <c r="D17" s="39" t="s">
        <v>30</v>
      </c>
      <c r="E17" s="40" t="str">
        <f>IF(D17="SP","Paulista","Carioca")</f>
        <v>Carioca</v>
      </c>
      <c r="F17" s="40" t="str">
        <f>IF(C17&gt;500000,"Grande","Pequeno")</f>
        <v>Pequeno</v>
      </c>
    </row>
    <row r="18">
      <c r="A18" s="36">
        <v>16</v>
      </c>
      <c r="B18" s="37" t="s">
        <v>65</v>
      </c>
      <c r="C18" s="38">
        <v>468309</v>
      </c>
      <c r="D18" s="39" t="s">
        <v>30</v>
      </c>
      <c r="E18" s="40" t="str">
        <f>IF(D18="SP","Paulista","Carioca")</f>
        <v>Carioca</v>
      </c>
      <c r="F18" s="40" t="str">
        <f>IF(C18&gt;500000,"Grande","Pequeno")</f>
        <v>Pequeno</v>
      </c>
    </row>
    <row r="19">
      <c r="A19" s="36">
        <v>17</v>
      </c>
      <c r="B19" s="37" t="s">
        <v>66</v>
      </c>
      <c r="C19" s="38">
        <v>431839</v>
      </c>
      <c r="D19" s="39" t="s">
        <v>30</v>
      </c>
      <c r="E19" s="40" t="str">
        <f>IF(D19="SP","Paulista","Carioca")</f>
        <v>Carioca</v>
      </c>
      <c r="F19" s="40" t="str">
        <f>IF(C19&gt;500000,"Grande","Pequeno")</f>
        <v>Pequeno</v>
      </c>
    </row>
    <row r="20">
      <c r="A20" s="36">
        <v>18</v>
      </c>
      <c r="B20" s="37" t="s">
        <v>67</v>
      </c>
      <c r="C20" s="38">
        <v>417518</v>
      </c>
      <c r="D20" s="39" t="s">
        <v>25</v>
      </c>
      <c r="E20" s="40" t="str">
        <f>IF(D20="SP","Paulista","Carioca")</f>
        <v>Paulista</v>
      </c>
      <c r="F20" s="40" t="str">
        <f>IF(C20&gt;500000,"Grande","Pequeno")</f>
        <v>Pequeno</v>
      </c>
    </row>
    <row r="21">
      <c r="A21" s="36">
        <v>19</v>
      </c>
      <c r="B21" s="37" t="s">
        <v>68</v>
      </c>
      <c r="C21" s="38">
        <v>414272</v>
      </c>
      <c r="D21" s="39" t="s">
        <v>25</v>
      </c>
      <c r="E21" s="40" t="str">
        <f>IF(D21="SP","Paulista","Carioca")</f>
        <v>Paulista</v>
      </c>
      <c r="F21" s="40" t="str">
        <f>IF(C21&gt;500000,"Grande","Pequeno")</f>
        <v>Pequeno</v>
      </c>
    </row>
    <row r="22">
      <c r="A22" s="36">
        <v>20</v>
      </c>
      <c r="B22" s="37" t="s">
        <v>69</v>
      </c>
      <c r="C22" s="38">
        <v>412753</v>
      </c>
      <c r="D22" s="39" t="s">
        <v>25</v>
      </c>
      <c r="E22" s="40" t="str">
        <f>IF(D22="SP","Paulista","Carioca")</f>
        <v>Paulista</v>
      </c>
      <c r="F22" s="40" t="str">
        <f>IF(C22&gt;500000,"Grande","Pequeno")</f>
        <v>Pequeno</v>
      </c>
    </row>
    <row r="23">
      <c r="A23" s="36">
        <v>21</v>
      </c>
      <c r="B23" s="37" t="s">
        <v>70</v>
      </c>
      <c r="C23" s="38">
        <v>394266</v>
      </c>
      <c r="D23" s="39" t="s">
        <v>25</v>
      </c>
      <c r="E23" s="40" t="str">
        <f>IF(D23="SP","Paulista","Carioca")</f>
        <v>Paulista</v>
      </c>
      <c r="F23" s="40" t="str">
        <f>IF(C23&gt;500000,"Grande","Pequeno")</f>
        <v>Pequeno</v>
      </c>
    </row>
    <row r="24">
      <c r="A24" s="36">
        <v>22</v>
      </c>
      <c r="B24" s="37" t="s">
        <v>71</v>
      </c>
      <c r="C24" s="38">
        <v>388532</v>
      </c>
      <c r="D24" s="39" t="s">
        <v>25</v>
      </c>
      <c r="E24" s="40" t="str">
        <f>IF(D24="SP","Paulista","Carioca")</f>
        <v>Paulista</v>
      </c>
      <c r="F24" s="40" t="str">
        <f>IF(C24&gt;500000,"Grande","Pequeno")</f>
        <v>Pequeno</v>
      </c>
    </row>
    <row r="25">
      <c r="A25" s="36">
        <v>23</v>
      </c>
      <c r="B25" s="37" t="s">
        <v>72</v>
      </c>
      <c r="C25" s="38">
        <v>371372</v>
      </c>
      <c r="D25" s="39" t="s">
        <v>25</v>
      </c>
      <c r="E25" s="40" t="str">
        <f>IF(D25="SP","Paulista","Carioca")</f>
        <v>Paulista</v>
      </c>
      <c r="F25" s="40" t="str">
        <f>IF(C25&gt;500000,"Grande","Pequeno")</f>
        <v>Pequeno</v>
      </c>
    </row>
    <row r="26">
      <c r="A26" s="36">
        <v>24</v>
      </c>
      <c r="B26" s="37" t="s">
        <v>73</v>
      </c>
      <c r="C26" s="38">
        <v>365440</v>
      </c>
      <c r="D26" s="39" t="s">
        <v>25</v>
      </c>
      <c r="E26" s="40" t="str">
        <f>IF(D26="SP","Paulista","Carioca")</f>
        <v>Paulista</v>
      </c>
      <c r="F26" s="40" t="str">
        <f>IF(C26&gt;500000,"Grande","Pequeno")</f>
        <v>Pequeno</v>
      </c>
    </row>
    <row r="27">
      <c r="A27" s="36">
        <v>25</v>
      </c>
      <c r="B27" s="37" t="s">
        <v>74</v>
      </c>
      <c r="C27" s="38">
        <v>355675</v>
      </c>
      <c r="D27" s="39" t="s">
        <v>25</v>
      </c>
      <c r="E27" s="40" t="str">
        <f>IF(D27="SP","Paulista","Carioca")</f>
        <v>Paulista</v>
      </c>
      <c r="F27" s="40" t="str">
        <f>IF(C27&gt;500000,"Grande","Pequeno")</f>
        <v>Pequeno</v>
      </c>
    </row>
    <row r="28">
      <c r="A28" s="36">
        <v>26</v>
      </c>
      <c r="B28" s="37" t="s">
        <v>75</v>
      </c>
      <c r="C28" s="38">
        <v>351493</v>
      </c>
      <c r="D28" s="39" t="s">
        <v>25</v>
      </c>
      <c r="E28" s="40" t="str">
        <f>IF(D28="SP","Paulista","Carioca")</f>
        <v>Paulista</v>
      </c>
      <c r="F28" s="40" t="str">
        <f>IF(C28&gt;500000,"Grande","Pequeno")</f>
        <v>Pequeno</v>
      </c>
    </row>
    <row r="29">
      <c r="A29" s="36">
        <v>27</v>
      </c>
      <c r="B29" s="37" t="s">
        <v>76</v>
      </c>
      <c r="C29" s="38">
        <v>347738</v>
      </c>
      <c r="D29" s="39" t="s">
        <v>25</v>
      </c>
      <c r="E29" s="40" t="str">
        <f>IF(D29="SP","Paulista","Carioca")</f>
        <v>Paulista</v>
      </c>
      <c r="F29" s="40" t="str">
        <f>IF(C29&gt;500000,"Grande","Pequeno")</f>
        <v>Pequeno</v>
      </c>
    </row>
    <row r="30">
      <c r="A30" s="36">
        <v>28</v>
      </c>
      <c r="B30" s="37" t="s">
        <v>77</v>
      </c>
      <c r="C30" s="38">
        <v>328522</v>
      </c>
      <c r="D30" s="39" t="s">
        <v>25</v>
      </c>
      <c r="E30" s="40" t="str">
        <f>IF(D30="SP","Paulista","Carioca")</f>
        <v>Paulista</v>
      </c>
      <c r="F30" s="40" t="str">
        <f>IF(C30&gt;500000,"Grande","Pequeno")</f>
        <v>Pequeno</v>
      </c>
    </row>
    <row r="31">
      <c r="A31" s="36">
        <v>29</v>
      </c>
      <c r="B31" s="37" t="s">
        <v>78</v>
      </c>
      <c r="C31" s="38">
        <v>327176</v>
      </c>
      <c r="D31" s="39" t="s">
        <v>25</v>
      </c>
      <c r="E31" s="40" t="str">
        <f>IF(D31="SP","Paulista","Carioca")</f>
        <v>Paulista</v>
      </c>
      <c r="F31" s="40" t="str">
        <f>IF(C31&gt;500000,"Grande","Pequeno")</f>
        <v>Pequeno</v>
      </c>
    </row>
    <row r="32">
      <c r="A32" s="36">
        <v>30</v>
      </c>
      <c r="B32" s="37" t="s">
        <v>79</v>
      </c>
      <c r="C32" s="38">
        <v>312766</v>
      </c>
      <c r="D32" s="39" t="s">
        <v>30</v>
      </c>
      <c r="E32" s="40" t="str">
        <f>IF(D32="SP","Paulista","Carioca")</f>
        <v>Carioca</v>
      </c>
      <c r="F32" s="40" t="str">
        <f>IF(C32&gt;500000,"Grande","Pequeno")</f>
        <v>Pequeno</v>
      </c>
    </row>
    <row r="33">
      <c r="A33" s="36">
        <v>31</v>
      </c>
      <c r="B33" s="37" t="s">
        <v>80</v>
      </c>
      <c r="C33" s="38">
        <v>304274</v>
      </c>
      <c r="D33" s="39" t="s">
        <v>25</v>
      </c>
      <c r="E33" s="40" t="str">
        <f>IF(D33="SP","Paulista","Carioca")</f>
        <v>Paulista</v>
      </c>
      <c r="F33" s="40" t="str">
        <f>IF(C33&gt;500000,"Grande","Pequeno")</f>
        <v>Pequeno</v>
      </c>
    </row>
    <row r="34">
      <c r="A34" s="36">
        <v>32</v>
      </c>
      <c r="B34" s="37" t="s">
        <v>81</v>
      </c>
      <c r="C34" s="38">
        <v>279394</v>
      </c>
      <c r="D34" s="39" t="s">
        <v>25</v>
      </c>
      <c r="E34" s="40" t="str">
        <f>IF(D34="SP","Paulista","Carioca")</f>
        <v>Paulista</v>
      </c>
      <c r="F34" s="40" t="str">
        <f>IF(C34&gt;500000,"Grande","Pequeno")</f>
        <v>Pequeno</v>
      </c>
    </row>
    <row r="35">
      <c r="A35" s="36">
        <v>33</v>
      </c>
      <c r="B35" s="37" t="s">
        <v>82</v>
      </c>
      <c r="C35" s="38">
        <v>278776</v>
      </c>
      <c r="D35" s="39" t="s">
        <v>25</v>
      </c>
      <c r="E35" s="40" t="str">
        <f>IF(D35="SP","Paulista","Carioca")</f>
        <v>Paulista</v>
      </c>
      <c r="F35" s="40" t="str">
        <f>IF(C35&gt;500000,"Grande","Pequeno")</f>
        <v>Pequeno</v>
      </c>
    </row>
    <row r="36">
      <c r="A36" s="36">
        <v>34</v>
      </c>
      <c r="B36" s="37" t="s">
        <v>83</v>
      </c>
      <c r="C36" s="38">
        <v>270918</v>
      </c>
      <c r="D36" s="39" t="s">
        <v>25</v>
      </c>
      <c r="E36" s="40" t="str">
        <f>IF(D36="SP","Paulista","Carioca")</f>
        <v>Paulista</v>
      </c>
      <c r="F36" s="40" t="str">
        <f>IF(C36&gt;500000,"Grande","Pequeno")</f>
        <v>Pequeno</v>
      </c>
    </row>
    <row r="37">
      <c r="A37" s="36">
        <v>35</v>
      </c>
      <c r="B37" s="37" t="s">
        <v>84</v>
      </c>
      <c r="C37" s="38">
        <v>264619</v>
      </c>
      <c r="D37" s="39" t="s">
        <v>25</v>
      </c>
      <c r="E37" s="40" t="str">
        <f>IF(D37="SP","Paulista","Carioca")</f>
        <v>Paulista</v>
      </c>
      <c r="F37" s="40" t="str">
        <f>IF(C37&gt;500000,"Grande","Pequeno")</f>
        <v>Pequeno</v>
      </c>
    </row>
    <row r="38">
      <c r="A38" s="36">
        <v>36</v>
      </c>
      <c r="B38" s="37" t="s">
        <v>85</v>
      </c>
      <c r="C38" s="38">
        <v>259811</v>
      </c>
      <c r="D38" s="39" t="s">
        <v>30</v>
      </c>
      <c r="E38" s="40" t="str">
        <f>IF(D38="SP","Paulista","Carioca")</f>
        <v>Carioca</v>
      </c>
      <c r="F38" s="40" t="str">
        <f>IF(C38&gt;500000,"Grande","Pequeno")</f>
        <v>Pequeno</v>
      </c>
    </row>
    <row r="39">
      <c r="A39" s="36">
        <v>37</v>
      </c>
      <c r="B39" s="37" t="s">
        <v>86</v>
      </c>
      <c r="C39" s="38">
        <v>245093</v>
      </c>
      <c r="D39" s="39" t="s">
        <v>25</v>
      </c>
      <c r="E39" s="40" t="str">
        <f>IF(D39="SP","Paulista","Carioca")</f>
        <v>Paulista</v>
      </c>
      <c r="F39" s="40" t="str">
        <f>IF(C39&gt;500000,"Grande","Pequeno")</f>
        <v>Pequeno</v>
      </c>
    </row>
    <row r="40">
      <c r="A40" s="36">
        <v>38</v>
      </c>
      <c r="B40" s="37" t="s">
        <v>87</v>
      </c>
      <c r="C40" s="38">
        <v>244533</v>
      </c>
      <c r="D40" s="39" t="s">
        <v>25</v>
      </c>
      <c r="E40" s="40" t="str">
        <f>IF(D40="SP","Paulista","Carioca")</f>
        <v>Paulista</v>
      </c>
      <c r="F40" s="40" t="str">
        <f>IF(C40&gt;500000,"Grande","Pequeno")</f>
        <v>Pequeno</v>
      </c>
    </row>
    <row r="41">
      <c r="A41" s="36">
        <v>39</v>
      </c>
      <c r="B41" s="37" t="s">
        <v>88</v>
      </c>
      <c r="C41" s="38">
        <v>240940</v>
      </c>
      <c r="D41" s="39" t="s">
        <v>30</v>
      </c>
      <c r="E41" s="40" t="str">
        <f>IF(D41="SP","Paulista","Carioca")</f>
        <v>Carioca</v>
      </c>
      <c r="F41" s="40" t="str">
        <f>IF(C41&gt;500000,"Grande","Pequeno")</f>
        <v>Pequeno</v>
      </c>
    </row>
    <row r="42">
      <c r="A42" s="36">
        <v>40</v>
      </c>
      <c r="B42" s="37" t="s">
        <v>89</v>
      </c>
      <c r="C42" s="38">
        <v>237135</v>
      </c>
      <c r="D42" s="39" t="s">
        <v>25</v>
      </c>
      <c r="E42" s="40" t="str">
        <f>IF(D42="SP","Paulista","Carioca")</f>
        <v>Paulista</v>
      </c>
      <c r="F42" s="40" t="str">
        <f>IF(C42&gt;500000,"Grande","Pequeno")</f>
        <v>Pequeno</v>
      </c>
    </row>
    <row r="43">
      <c r="A43" s="36">
        <v>41</v>
      </c>
      <c r="B43" s="37" t="s">
        <v>90</v>
      </c>
      <c r="C43" s="38">
        <v>225309</v>
      </c>
      <c r="D43" s="39" t="s">
        <v>30</v>
      </c>
      <c r="E43" s="40" t="str">
        <f>IF(D43="SP","Paulista","Carioca")</f>
        <v>Carioca</v>
      </c>
      <c r="F43" s="40" t="str">
        <f>IF(C43&gt;500000,"Grande","Pequeno")</f>
        <v>Pequeno</v>
      </c>
    </row>
    <row r="44">
      <c r="A44" s="36">
        <v>42</v>
      </c>
      <c r="B44" s="37" t="s">
        <v>91</v>
      </c>
      <c r="C44" s="38">
        <v>224757</v>
      </c>
      <c r="D44" s="39" t="s">
        <v>25</v>
      </c>
      <c r="E44" s="40" t="str">
        <f>IF(D44="SP","Paulista","Carioca")</f>
        <v>Paulista</v>
      </c>
      <c r="F44" s="40" t="str">
        <f>IF(C44&gt;500000,"Grande","Pequeno")</f>
        <v>Pequeno</v>
      </c>
    </row>
    <row r="45">
      <c r="A45" s="36">
        <v>43</v>
      </c>
      <c r="B45" s="37" t="s">
        <v>92</v>
      </c>
      <c r="C45" s="38">
        <v>223454</v>
      </c>
      <c r="D45" s="39" t="s">
        <v>25</v>
      </c>
      <c r="E45" s="40" t="str">
        <f>IF(D45="SP","Paulista","Carioca")</f>
        <v>Paulista</v>
      </c>
      <c r="F45" s="40" t="str">
        <f>IF(C45&gt;500000,"Grande","Pequeno")</f>
        <v>Pequeno</v>
      </c>
    </row>
    <row r="46">
      <c r="A46" s="36">
        <v>44</v>
      </c>
      <c r="B46" s="37" t="s">
        <v>93</v>
      </c>
      <c r="C46" s="38">
        <v>218080</v>
      </c>
      <c r="D46" s="39" t="s">
        <v>25</v>
      </c>
      <c r="E46" s="40" t="str">
        <f>IF(D46="SP","Paulista","Carioca")</f>
        <v>Paulista</v>
      </c>
      <c r="F46" s="40" t="str">
        <f>IF(C46&gt;500000,"Grande","Pequeno")</f>
        <v>Pequeno</v>
      </c>
    </row>
    <row r="47">
      <c r="A47" s="36">
        <v>45</v>
      </c>
      <c r="B47" s="37" t="s">
        <v>94</v>
      </c>
      <c r="C47" s="38">
        <v>210988</v>
      </c>
      <c r="D47" s="39" t="s">
        <v>25</v>
      </c>
      <c r="E47" s="40" t="str">
        <f>IF(D47="SP","Paulista","Carioca")</f>
        <v>Paulista</v>
      </c>
      <c r="F47" s="40" t="str">
        <f>IF(C47&gt;500000,"Grande","Pequeno")</f>
        <v>Pequeno</v>
      </c>
    </row>
    <row r="48">
      <c r="A48" s="36">
        <v>46</v>
      </c>
      <c r="B48" s="37" t="s">
        <v>95</v>
      </c>
      <c r="C48" s="38">
        <v>206164</v>
      </c>
      <c r="D48" s="39" t="s">
        <v>25</v>
      </c>
      <c r="E48" s="40" t="str">
        <f>IF(D48="SP","Paulista","Carioca")</f>
        <v>Paulista</v>
      </c>
      <c r="F48" s="40" t="str">
        <f>IF(C48&gt;500000,"Grande","Pequeno")</f>
        <v>Pequeno</v>
      </c>
    </row>
    <row r="49">
      <c r="A49" s="36">
        <v>47</v>
      </c>
      <c r="B49" s="37" t="s">
        <v>96</v>
      </c>
      <c r="C49" s="38">
        <v>203283</v>
      </c>
      <c r="D49" s="39" t="s">
        <v>25</v>
      </c>
      <c r="E49" s="40" t="str">
        <f>IF(D49="SP","Paulista","Carioca")</f>
        <v>Paulista</v>
      </c>
      <c r="F49" s="40" t="str">
        <f>IF(C49&gt;500000,"Grande","Pequeno")</f>
        <v>Pequeno</v>
      </c>
    </row>
    <row r="50">
      <c r="A50" s="36">
        <v>48</v>
      </c>
      <c r="B50" s="37" t="s">
        <v>97</v>
      </c>
      <c r="C50" s="38">
        <v>201995</v>
      </c>
      <c r="D50" s="39" t="s">
        <v>25</v>
      </c>
      <c r="E50" s="40" t="str">
        <f>IF(D50="SP","Paulista","Carioca")</f>
        <v>Paulista</v>
      </c>
      <c r="F50" s="40" t="str">
        <f>IF(C50&gt;500000,"Grande","Pequeno")</f>
        <v>Pequeno</v>
      </c>
    </row>
    <row r="51">
      <c r="A51" s="36">
        <v>49</v>
      </c>
      <c r="B51" s="37" t="s">
        <v>98</v>
      </c>
      <c r="C51" s="38">
        <v>201049</v>
      </c>
      <c r="D51" s="39" t="s">
        <v>25</v>
      </c>
      <c r="E51" s="40" t="str">
        <f>IF(D51="SP","Paulista","Carioca")</f>
        <v>Paulista</v>
      </c>
      <c r="F51" s="40" t="str">
        <f>IF(C51&gt;500000,"Grande","Pequeno")</f>
        <v>Pequeno</v>
      </c>
    </row>
    <row r="52">
      <c r="A52" s="36">
        <v>50</v>
      </c>
      <c r="B52" s="37" t="s">
        <v>99</v>
      </c>
      <c r="C52" s="38">
        <v>199132</v>
      </c>
      <c r="D52" s="39" t="s">
        <v>25</v>
      </c>
      <c r="E52" s="40" t="str">
        <f>IF(D52="SP","Paulista","Carioca")</f>
        <v>Paulista</v>
      </c>
      <c r="F52" s="40" t="str">
        <f>IF(C52&gt;500000,"Grande","Pequeno")</f>
        <v>Pequeno</v>
      </c>
    </row>
    <row r="53">
      <c r="A53" s="36">
        <v>51</v>
      </c>
      <c r="B53" s="37" t="s">
        <v>100</v>
      </c>
      <c r="C53" s="38">
        <v>189834</v>
      </c>
      <c r="D53" s="39" t="s">
        <v>25</v>
      </c>
      <c r="E53" s="40" t="str">
        <f>IF(D53="SP","Paulista","Carioca")</f>
        <v>Paulista</v>
      </c>
      <c r="F53" s="40" t="str">
        <f>IF(C53&gt;500000,"Grande","Pequeno")</f>
        <v>Pequeno</v>
      </c>
    </row>
    <row r="54">
      <c r="A54" s="36">
        <v>52</v>
      </c>
      <c r="B54" s="37" t="s">
        <v>101</v>
      </c>
      <c r="C54" s="38">
        <v>188787</v>
      </c>
      <c r="D54" s="39" t="s">
        <v>30</v>
      </c>
      <c r="E54" s="40" t="str">
        <f>IF(D54="SP","Paulista","Carioca")</f>
        <v>Carioca</v>
      </c>
      <c r="F54" s="40" t="str">
        <f>IF(C54&gt;500000,"Grande","Pequeno")</f>
        <v>Pequeno</v>
      </c>
    </row>
    <row r="55">
      <c r="A55" s="36">
        <v>53</v>
      </c>
      <c r="B55" s="37" t="s">
        <v>102</v>
      </c>
      <c r="C55" s="38">
        <v>187949</v>
      </c>
      <c r="D55" s="39" t="s">
        <v>30</v>
      </c>
      <c r="E55" s="40" t="str">
        <f>IF(D55="SP","Paulista","Carioca")</f>
        <v>Carioca</v>
      </c>
      <c r="F55" s="40" t="str">
        <f>IF(C55&gt;500000,"Grande","Pequeno")</f>
        <v>Pequeno</v>
      </c>
    </row>
    <row r="56">
      <c r="A56" s="36">
        <v>54</v>
      </c>
      <c r="B56" s="37" t="s">
        <v>103</v>
      </c>
      <c r="C56" s="38">
        <v>187908</v>
      </c>
      <c r="D56" s="39" t="s">
        <v>25</v>
      </c>
      <c r="E56" s="40" t="str">
        <f>IF(D56="SP","Paulista","Carioca")</f>
        <v>Paulista</v>
      </c>
      <c r="F56" s="40" t="str">
        <f>IF(C56&gt;500000,"Grande","Pequeno")</f>
        <v>Pequeno</v>
      </c>
    </row>
    <row r="57">
      <c r="A57" s="36">
        <v>55</v>
      </c>
      <c r="B57" s="37" t="s">
        <v>104</v>
      </c>
      <c r="C57" s="38">
        <v>181143</v>
      </c>
      <c r="D57" s="39" t="s">
        <v>25</v>
      </c>
      <c r="E57" s="40" t="str">
        <f>IF(D57="SP","Paulista","Carioca")</f>
        <v>Paulista</v>
      </c>
      <c r="F57" s="40" t="str">
        <f>IF(C57&gt;500000,"Grande","Pequeno")</f>
        <v>Pequeno</v>
      </c>
    </row>
    <row r="58">
      <c r="A58" s="36">
        <v>56</v>
      </c>
      <c r="B58" s="37" t="s">
        <v>105</v>
      </c>
      <c r="C58" s="38">
        <v>180635</v>
      </c>
      <c r="D58" s="39" t="s">
        <v>30</v>
      </c>
      <c r="E58" s="40" t="str">
        <f>IF(D58="SP","Paulista","Carioca")</f>
        <v>Carioca</v>
      </c>
      <c r="F58" s="40" t="str">
        <f>IF(C58&gt;500000,"Grande","Pequeno")</f>
        <v>Pequeno</v>
      </c>
    </row>
    <row r="59">
      <c r="A59" s="36">
        <v>57</v>
      </c>
      <c r="B59" s="37" t="s">
        <v>106</v>
      </c>
      <c r="C59" s="38">
        <v>180524</v>
      </c>
      <c r="D59" s="39" t="s">
        <v>25</v>
      </c>
      <c r="E59" s="40" t="str">
        <f>IF(D59="SP","Paulista","Carioca")</f>
        <v>Paulista</v>
      </c>
      <c r="F59" s="40" t="str">
        <f>IF(C59&gt;500000,"Grande","Pequeno")</f>
        <v>Pequeno</v>
      </c>
    </row>
    <row r="60">
      <c r="A60" s="36">
        <v>58</v>
      </c>
      <c r="B60" s="37" t="s">
        <v>107</v>
      </c>
      <c r="C60" s="38">
        <v>179109</v>
      </c>
      <c r="D60" s="39" t="s">
        <v>25</v>
      </c>
      <c r="E60" s="40" t="str">
        <f>IF(D60="SP","Paulista","Carioca")</f>
        <v>Paulista</v>
      </c>
      <c r="F60" s="40" t="str">
        <f>IF(C60&gt;500000,"Grande","Pequeno")</f>
        <v>Pequeno</v>
      </c>
    </row>
    <row r="61">
      <c r="A61" s="36">
        <v>59</v>
      </c>
      <c r="B61" s="37" t="s">
        <v>108</v>
      </c>
      <c r="C61" s="38">
        <v>178310</v>
      </c>
      <c r="D61" s="39" t="s">
        <v>30</v>
      </c>
      <c r="E61" s="40" t="str">
        <f>IF(D61="SP","Paulista","Carioca")</f>
        <v>Carioca</v>
      </c>
      <c r="F61" s="40" t="str">
        <f>IF(C61&gt;500000,"Grande","Pequeno")</f>
        <v>Pequeno</v>
      </c>
    </row>
    <row r="62">
      <c r="A62" s="36">
        <v>60</v>
      </c>
      <c r="B62" s="37" t="s">
        <v>109</v>
      </c>
      <c r="C62" s="38">
        <v>176469</v>
      </c>
      <c r="D62" s="39" t="s">
        <v>30</v>
      </c>
      <c r="E62" s="40" t="str">
        <f>IF(D62="SP","Paulista","Carioca")</f>
        <v>Carioca</v>
      </c>
      <c r="F62" s="40" t="str">
        <f>IF(C62&gt;500000,"Grande","Pequeno")</f>
        <v>Pequeno</v>
      </c>
    </row>
    <row r="63">
      <c r="A63" s="36">
        <v>61</v>
      </c>
      <c r="B63" s="37" t="s">
        <v>110</v>
      </c>
      <c r="C63" s="38">
        <v>175939</v>
      </c>
      <c r="D63" s="39" t="s">
        <v>25</v>
      </c>
      <c r="E63" s="40" t="str">
        <f>IF(D63="SP","Paulista","Carioca")</f>
        <v>Paulista</v>
      </c>
      <c r="F63" s="40" t="str">
        <f>IF(C63&gt;500000,"Grande","Pequeno")</f>
        <v>Pequeno</v>
      </c>
    </row>
    <row r="64">
      <c r="A64" s="36">
        <v>62</v>
      </c>
      <c r="B64" s="37" t="s">
        <v>111</v>
      </c>
      <c r="C64" s="38">
        <v>164191</v>
      </c>
      <c r="D64" s="39" t="s">
        <v>30</v>
      </c>
      <c r="E64" s="40" t="str">
        <f>IF(D64="SP","Paulista","Carioca")</f>
        <v>Carioca</v>
      </c>
      <c r="F64" s="40" t="str">
        <f>IF(C64&gt;500000,"Grande","Pequeno")</f>
        <v>Pequeno</v>
      </c>
    </row>
    <row r="65">
      <c r="A65" s="36">
        <v>63</v>
      </c>
      <c r="B65" s="37" t="s">
        <v>112</v>
      </c>
      <c r="C65" s="38">
        <v>159968</v>
      </c>
      <c r="D65" s="39" t="s">
        <v>30</v>
      </c>
      <c r="E65" s="40" t="str">
        <f>IF(D65="SP","Paulista","Carioca")</f>
        <v>Carioca</v>
      </c>
      <c r="F65" s="40" t="str">
        <f>IF(C65&gt;500000,"Grande","Pequeno")</f>
        <v>Pequeno</v>
      </c>
    </row>
    <row r="66">
      <c r="A66" s="36">
        <v>64</v>
      </c>
      <c r="B66" s="37" t="s">
        <v>113</v>
      </c>
      <c r="C66" s="38">
        <v>159102</v>
      </c>
      <c r="D66" s="39" t="s">
        <v>25</v>
      </c>
      <c r="E66" s="40" t="str">
        <f>IF(D66="SP","Paulista","Carioca")</f>
        <v>Paulista</v>
      </c>
      <c r="F66" s="40" t="str">
        <f>IF(C66&gt;500000,"Grande","Pequeno")</f>
        <v>Pequeno</v>
      </c>
    </row>
    <row r="67">
      <c r="A67" s="36">
        <v>65</v>
      </c>
      <c r="B67" s="37" t="s">
        <v>114</v>
      </c>
      <c r="C67" s="38">
        <v>159005</v>
      </c>
      <c r="D67" s="39" t="s">
        <v>30</v>
      </c>
      <c r="E67" s="40" t="str">
        <f>IF(D67="SP","Paulista","Carioca")</f>
        <v>Carioca</v>
      </c>
      <c r="F67" s="40" t="str">
        <f>IF(C67&gt;500000,"Grande","Pequeno")</f>
        <v>Pequeno</v>
      </c>
    </row>
    <row r="68">
      <c r="A68" s="36">
        <v>66</v>
      </c>
      <c r="B68" s="37" t="s">
        <v>115</v>
      </c>
      <c r="C68" s="38">
        <v>155457</v>
      </c>
      <c r="D68" s="39" t="s">
        <v>25</v>
      </c>
      <c r="E68" s="40" t="str">
        <f>IF(D68="SP","Paulista","Carioca")</f>
        <v>Paulista</v>
      </c>
      <c r="F68" s="40" t="str">
        <f>IF(C68&gt;500000,"Grande","Pequeno")</f>
        <v>Pequeno</v>
      </c>
    </row>
    <row r="69">
      <c r="A69" s="36">
        <v>67</v>
      </c>
      <c r="B69" s="37" t="s">
        <v>116</v>
      </c>
      <c r="C69" s="38">
        <v>155224</v>
      </c>
      <c r="D69" s="39" t="s">
        <v>25</v>
      </c>
      <c r="E69" s="40" t="str">
        <f>IF(D69="SP","Paulista","Carioca")</f>
        <v>Paulista</v>
      </c>
      <c r="F69" s="40" t="str">
        <f>IF(C69&gt;500000,"Grande","Pequeno")</f>
        <v>Pequeno</v>
      </c>
    </row>
    <row r="70">
      <c r="A70" s="36">
        <v>68</v>
      </c>
      <c r="B70" s="37" t="s">
        <v>117</v>
      </c>
      <c r="C70" s="38">
        <v>151103</v>
      </c>
      <c r="D70" s="39" t="s">
        <v>25</v>
      </c>
      <c r="E70" s="40" t="str">
        <f>IF(D70="SP","Paulista","Carioca")</f>
        <v>Paulista</v>
      </c>
      <c r="F70" s="40" t="str">
        <f>IF(C70&gt;500000,"Grande","Pequeno")</f>
        <v>Pequeno</v>
      </c>
    </row>
    <row r="71">
      <c r="A71" s="36">
        <v>69</v>
      </c>
      <c r="B71" s="37" t="s">
        <v>118</v>
      </c>
      <c r="C71" s="38">
        <v>146760</v>
      </c>
      <c r="D71" s="39" t="s">
        <v>25</v>
      </c>
      <c r="E71" s="40" t="str">
        <f>IF(D71="SP","Paulista","Carioca")</f>
        <v>Paulista</v>
      </c>
      <c r="F71" s="40" t="str">
        <f>IF(C71&gt;500000,"Grande","Pequeno")</f>
        <v>Pequeno</v>
      </c>
    </row>
    <row r="72">
      <c r="A72" s="36">
        <v>70</v>
      </c>
      <c r="B72" s="37" t="s">
        <v>119</v>
      </c>
      <c r="C72" s="38">
        <v>144066</v>
      </c>
      <c r="D72" s="39" t="s">
        <v>25</v>
      </c>
      <c r="E72" s="40" t="str">
        <f>IF(D72="SP","Paulista","Carioca")</f>
        <v>Paulista</v>
      </c>
      <c r="F72" s="40" t="str">
        <f>IF(C72&gt;500000,"Grande","Pequeno")</f>
        <v>Pequeno</v>
      </c>
    </row>
    <row r="73">
      <c r="A73" s="36">
        <v>71</v>
      </c>
      <c r="B73" s="37" t="s">
        <v>120</v>
      </c>
      <c r="C73" s="38">
        <v>142997</v>
      </c>
      <c r="D73" s="39" t="s">
        <v>25</v>
      </c>
      <c r="E73" s="40" t="str">
        <f>IF(D73="SP","Paulista","Carioca")</f>
        <v>Paulista</v>
      </c>
      <c r="F73" s="40" t="str">
        <f>IF(C73&gt;500000,"Grande","Pequeno")</f>
        <v>Pequeno</v>
      </c>
    </row>
    <row r="74">
      <c r="A74" s="36">
        <v>72</v>
      </c>
      <c r="B74" s="37" t="s">
        <v>121</v>
      </c>
      <c r="C74" s="38">
        <v>138494</v>
      </c>
      <c r="D74" s="39" t="s">
        <v>25</v>
      </c>
      <c r="E74" s="40" t="str">
        <f>IF(D74="SP","Paulista","Carioca")</f>
        <v>Paulista</v>
      </c>
      <c r="F74" s="40" t="str">
        <f>IF(C74&gt;500000,"Grande","Pequeno")</f>
        <v>Pequeno</v>
      </c>
    </row>
    <row r="75">
      <c r="A75" s="36">
        <v>73</v>
      </c>
      <c r="B75" s="37" t="s">
        <v>122</v>
      </c>
      <c r="C75" s="38">
        <v>137870</v>
      </c>
      <c r="D75" s="39" t="s">
        <v>30</v>
      </c>
      <c r="E75" s="40" t="str">
        <f>IF(D75="SP","Paulista","Carioca")</f>
        <v>Carioca</v>
      </c>
      <c r="F75" s="40" t="str">
        <f>IF(C75&gt;500000,"Grande","Pequeno")</f>
        <v>Pequeno</v>
      </c>
    </row>
    <row r="76">
      <c r="A76" s="36">
        <v>74</v>
      </c>
      <c r="B76" s="37" t="s">
        <v>123</v>
      </c>
      <c r="C76" s="38">
        <v>133469</v>
      </c>
      <c r="D76" s="39" t="s">
        <v>25</v>
      </c>
      <c r="E76" s="40" t="str">
        <f>IF(D76="SP","Paulista","Carioca")</f>
        <v>Paulista</v>
      </c>
      <c r="F76" s="40" t="str">
        <f>IF(C76&gt;500000,"Grande","Pequeno")</f>
        <v>Pequeno</v>
      </c>
    </row>
    <row r="77">
      <c r="A77" s="36">
        <v>75</v>
      </c>
      <c r="B77" s="37" t="s">
        <v>124</v>
      </c>
      <c r="C77" s="38">
        <v>129304</v>
      </c>
      <c r="D77" s="39" t="s">
        <v>25</v>
      </c>
      <c r="E77" s="40" t="str">
        <f>IF(D77="SP","Paulista","Carioca")</f>
        <v>Paulista</v>
      </c>
      <c r="F77" s="40" t="str">
        <f>IF(C77&gt;500000,"Grande","Pequeno")</f>
        <v>Pequeno</v>
      </c>
    </row>
    <row r="78">
      <c r="A78" s="36">
        <v>76</v>
      </c>
      <c r="B78" s="37" t="s">
        <v>125</v>
      </c>
      <c r="C78" s="38">
        <v>128397</v>
      </c>
      <c r="D78" s="39" t="s">
        <v>25</v>
      </c>
      <c r="E78" s="40" t="str">
        <f>IF(D78="SP","Paulista","Carioca")</f>
        <v>Paulista</v>
      </c>
      <c r="F78" s="40" t="str">
        <f>IF(C78&gt;500000,"Grande","Pequeno")</f>
        <v>Pequeno</v>
      </c>
    </row>
    <row r="79">
      <c r="A79" s="36">
        <v>77</v>
      </c>
      <c r="B79" s="37" t="s">
        <v>126</v>
      </c>
      <c r="C79" s="38">
        <v>127763</v>
      </c>
      <c r="D79" s="39" t="s">
        <v>30</v>
      </c>
      <c r="E79" s="40" t="str">
        <f>IF(D79="SP","Paulista","Carioca")</f>
        <v>Carioca</v>
      </c>
      <c r="F79" s="40" t="str">
        <f>IF(C79&gt;500000,"Grande","Pequeno")</f>
        <v>Pequeno</v>
      </c>
    </row>
    <row r="80">
      <c r="A80" s="36">
        <v>78</v>
      </c>
      <c r="B80" s="37" t="s">
        <v>127</v>
      </c>
      <c r="C80" s="38">
        <v>127702</v>
      </c>
      <c r="D80" s="39" t="s">
        <v>25</v>
      </c>
      <c r="E80" s="40" t="str">
        <f>IF(D80="SP","Paulista","Carioca")</f>
        <v>Paulista</v>
      </c>
      <c r="F80" s="40" t="str">
        <f>IF(C80&gt;500000,"Grande","Pequeno")</f>
        <v>Pequeno</v>
      </c>
    </row>
    <row r="81">
      <c r="A81" s="36">
        <v>79</v>
      </c>
      <c r="B81" s="37" t="s">
        <v>128</v>
      </c>
      <c r="C81" s="38">
        <v>125418</v>
      </c>
      <c r="D81" s="39" t="s">
        <v>25</v>
      </c>
      <c r="E81" s="40" t="str">
        <f>IF(D81="SP","Paulista","Carioca")</f>
        <v>Paulista</v>
      </c>
      <c r="F81" s="40" t="str">
        <f>IF(C81&gt;500000,"Grande","Pequeno")</f>
        <v>Pequeno</v>
      </c>
    </row>
    <row r="82">
      <c r="A82" s="36">
        <v>80</v>
      </c>
      <c r="B82" s="37" t="s">
        <v>129</v>
      </c>
      <c r="C82" s="38">
        <v>119231</v>
      </c>
      <c r="D82" s="39" t="s">
        <v>30</v>
      </c>
      <c r="E82" s="40" t="str">
        <f>IF(D82="SP","Paulista","Carioca")</f>
        <v>Carioca</v>
      </c>
      <c r="F82" s="40" t="str">
        <f>IF(C82&gt;500000,"Grande","Pequeno")</f>
        <v>Pequeno</v>
      </c>
    </row>
    <row r="83">
      <c r="A83" s="36">
        <v>81</v>
      </c>
      <c r="B83" s="37" t="s">
        <v>130</v>
      </c>
      <c r="C83" s="38">
        <v>114069</v>
      </c>
      <c r="D83" s="39" t="s">
        <v>25</v>
      </c>
      <c r="E83" s="40" t="str">
        <f>IF(D83="SP","Paulista","Carioca")</f>
        <v>Paulista</v>
      </c>
      <c r="F83" s="40" t="str">
        <f>IF(C83&gt;500000,"Grande","Pequeno")</f>
        <v>Pequeno</v>
      </c>
    </row>
    <row r="84">
      <c r="A84" s="36">
        <v>82</v>
      </c>
      <c r="B84" s="37" t="s">
        <v>131</v>
      </c>
      <c r="C84" s="38">
        <v>113645</v>
      </c>
      <c r="D84" s="39" t="s">
        <v>25</v>
      </c>
      <c r="E84" s="40" t="str">
        <f>IF(D84="SP","Paulista","Carioca")</f>
        <v>Paulista</v>
      </c>
      <c r="F84" s="40" t="str">
        <f>IF(C84&gt;500000,"Grande","Pequeno")</f>
        <v>Pequeno</v>
      </c>
    </row>
    <row r="85">
      <c r="A85" s="36">
        <v>83</v>
      </c>
      <c r="B85" s="37" t="s">
        <v>132</v>
      </c>
      <c r="C85" s="38">
        <v>112804</v>
      </c>
      <c r="D85" s="39" t="s">
        <v>25</v>
      </c>
      <c r="E85" s="40" t="str">
        <f>IF(D85="SP","Paulista","Carioca")</f>
        <v>Paulista</v>
      </c>
      <c r="F85" s="40" t="str">
        <f>IF(C85&gt;500000,"Grande","Pequeno")</f>
        <v>Pequeno</v>
      </c>
    </row>
    <row r="86">
      <c r="A86" s="36">
        <v>84</v>
      </c>
      <c r="B86" s="37" t="s">
        <v>133</v>
      </c>
      <c r="C86" s="38">
        <v>112596</v>
      </c>
      <c r="D86" s="39" t="s">
        <v>25</v>
      </c>
      <c r="E86" s="40" t="str">
        <f>IF(D86="SP","Paulista","Carioca")</f>
        <v>Paulista</v>
      </c>
      <c r="F86" s="40" t="str">
        <f>IF(C86&gt;500000,"Grande","Pequeno")</f>
        <v>Pequeno</v>
      </c>
    </row>
    <row r="87">
      <c r="A87" s="36">
        <v>85</v>
      </c>
      <c r="B87" s="37" t="s">
        <v>134</v>
      </c>
      <c r="C87" s="38">
        <v>111402</v>
      </c>
      <c r="D87" s="39" t="s">
        <v>25</v>
      </c>
      <c r="E87" s="40" t="str">
        <f>IF(D87="SP","Paulista","Carioca")</f>
        <v>Paulista</v>
      </c>
      <c r="F87" s="40" t="str">
        <f>IF(C87&gt;500000,"Grande","Pequeno")</f>
        <v>Pequeno</v>
      </c>
    </row>
    <row r="88">
      <c r="A88" s="36">
        <v>86</v>
      </c>
      <c r="B88" s="37" t="s">
        <v>135</v>
      </c>
      <c r="C88" s="38">
        <v>111016</v>
      </c>
      <c r="D88" s="39" t="s">
        <v>25</v>
      </c>
      <c r="E88" s="40" t="str">
        <f>IF(D88="SP","Paulista","Carioca")</f>
        <v>Paulista</v>
      </c>
      <c r="F88" s="40" t="str">
        <f>IF(C88&gt;500000,"Grande","Pequeno")</f>
        <v>Pequeno</v>
      </c>
    </row>
    <row r="89">
      <c r="A89" s="36">
        <v>87</v>
      </c>
      <c r="B89" s="37" t="s">
        <v>136</v>
      </c>
      <c r="C89" s="38">
        <v>110730</v>
      </c>
      <c r="D89" s="39" t="s">
        <v>25</v>
      </c>
      <c r="E89" s="40" t="str">
        <f>IF(D89="SP","Paulista","Carioca")</f>
        <v>Paulista</v>
      </c>
      <c r="F89" s="40" t="str">
        <f>IF(C89&gt;500000,"Grande","Pequeno")</f>
        <v>Pequeno</v>
      </c>
    </row>
    <row r="90">
      <c r="A90" s="36">
        <v>88</v>
      </c>
      <c r="B90" s="37" t="s">
        <v>137</v>
      </c>
      <c r="C90" s="38">
        <v>110325</v>
      </c>
      <c r="D90" s="39" t="s">
        <v>25</v>
      </c>
      <c r="E90" s="40" t="str">
        <f>IF(D90="SP","Paulista","Carioca")</f>
        <v>Paulista</v>
      </c>
      <c r="F90" s="40" t="str">
        <f>IF(C90&gt;500000,"Grande","Pequeno")</f>
        <v>Pequeno</v>
      </c>
    </row>
    <row r="91">
      <c r="A91" s="36">
        <v>89</v>
      </c>
      <c r="B91" s="37" t="s">
        <v>138</v>
      </c>
      <c r="C91" s="38">
        <v>107285</v>
      </c>
      <c r="D91" s="39" t="s">
        <v>30</v>
      </c>
      <c r="E91" s="40" t="str">
        <f>IF(D91="SP","Paulista","Carioca")</f>
        <v>Carioca</v>
      </c>
      <c r="F91" s="40" t="str">
        <f>IF(C91&gt;500000,"Grande","Pequeno")</f>
        <v>Pequeno</v>
      </c>
    </row>
    <row r="92">
      <c r="A92" s="36">
        <v>90</v>
      </c>
      <c r="B92" s="37" t="s">
        <v>139</v>
      </c>
      <c r="C92" s="38">
        <v>103515</v>
      </c>
      <c r="D92" s="39" t="s">
        <v>30</v>
      </c>
      <c r="E92" s="40" t="str">
        <f>IF(D92="SP","Paulista","Carioca")</f>
        <v>Carioca</v>
      </c>
      <c r="F92" s="40" t="str">
        <f>IF(C92&gt;500000,"Grande","Pequeno")</f>
        <v>Pequeno</v>
      </c>
    </row>
    <row r="93">
      <c r="A93" s="36">
        <v>91</v>
      </c>
      <c r="B93" s="37" t="s">
        <v>140</v>
      </c>
      <c r="C93" s="38">
        <v>102487</v>
      </c>
      <c r="D93" s="39" t="s">
        <v>30</v>
      </c>
      <c r="E93" s="40" t="str">
        <f>IF(D93="SP","Paulista","Carioca")</f>
        <v>Carioca</v>
      </c>
      <c r="F93" s="40" t="str">
        <f>IF(C93&gt;500000,"Grande","Pequeno")</f>
        <v>Pequeno</v>
      </c>
    </row>
    <row r="94">
      <c r="A94" s="36">
        <v>92</v>
      </c>
      <c r="B94" s="37" t="s">
        <v>141</v>
      </c>
      <c r="C94" s="38">
        <v>100055</v>
      </c>
      <c r="D94" s="39" t="s">
        <v>30</v>
      </c>
      <c r="E94" s="40" t="str">
        <f>IF(D94="SP","Paulista","Carioca")</f>
        <v>Carioca</v>
      </c>
      <c r="F94" s="40" t="str">
        <f>IF(C94&gt;500000,"Grande","Pequeno")</f>
        <v>Pequeno</v>
      </c>
    </row>
    <row r="95">
      <c r="A95" s="36">
        <v>93</v>
      </c>
      <c r="B95" s="37" t="s">
        <v>142</v>
      </c>
      <c r="C95" s="38">
        <v>98347</v>
      </c>
      <c r="D95" s="39" t="s">
        <v>30</v>
      </c>
      <c r="E95" s="40" t="str">
        <f>IF(D95="SP","Paulista","Carioca")</f>
        <v>Carioca</v>
      </c>
      <c r="F95" s="40" t="str">
        <f>IF(C95&gt;500000,"Grande","Pequeno")</f>
        <v>Pequeno</v>
      </c>
    </row>
    <row r="96">
      <c r="A96" s="36">
        <v>94</v>
      </c>
      <c r="B96" s="37" t="s">
        <v>143</v>
      </c>
      <c r="C96" s="38">
        <v>91085</v>
      </c>
      <c r="D96" s="39" t="s">
        <v>30</v>
      </c>
      <c r="E96" s="40" t="str">
        <f>IF(D96="SP","Paulista","Carioca")</f>
        <v>Carioca</v>
      </c>
      <c r="F96" s="40" t="str">
        <f>IF(C96&gt;500000,"Grande","Pequeno")</f>
        <v>Pequeno</v>
      </c>
    </row>
    <row r="97">
      <c r="A97" s="36">
        <v>95</v>
      </c>
      <c r="B97" s="37" t="s">
        <v>144</v>
      </c>
      <c r="C97" s="38">
        <v>82951</v>
      </c>
      <c r="D97" s="39" t="s">
        <v>30</v>
      </c>
      <c r="E97" s="40" t="str">
        <f>IF(D97="SP","Paulista","Carioca")</f>
        <v>Carioca</v>
      </c>
      <c r="F97" s="40" t="str">
        <f>IF(C97&gt;500000,"Grande","Pequeno")</f>
        <v>Pequeno</v>
      </c>
    </row>
    <row r="98">
      <c r="A98" s="36">
        <v>96</v>
      </c>
      <c r="B98" s="37" t="s">
        <v>145</v>
      </c>
      <c r="C98" s="38">
        <v>77618</v>
      </c>
      <c r="D98" s="39" t="s">
        <v>30</v>
      </c>
      <c r="E98" s="40" t="str">
        <f>IF(D98="SP","Paulista","Carioca")</f>
        <v>Carioca</v>
      </c>
      <c r="F98" s="40" t="str">
        <f>IF(C98&gt;500000,"Grande","Pequeno")</f>
        <v>Pequeno</v>
      </c>
    </row>
    <row r="99">
      <c r="A99" s="36">
        <v>97</v>
      </c>
      <c r="B99" s="37" t="s">
        <v>146</v>
      </c>
      <c r="C99" s="38">
        <v>75754</v>
      </c>
      <c r="D99" s="39" t="s">
        <v>30</v>
      </c>
      <c r="E99" s="40" t="str">
        <f>IF(D99="SP","Paulista","Carioca")</f>
        <v>Carioca</v>
      </c>
      <c r="F99" s="40" t="str">
        <f>IF(C99&gt;500000,"Grande","Pequeno")</f>
        <v>Pequeno</v>
      </c>
    </row>
    <row r="100">
      <c r="A100" s="36">
        <v>98</v>
      </c>
      <c r="B100" s="37" t="s">
        <v>147</v>
      </c>
      <c r="C100" s="38">
        <v>74993</v>
      </c>
      <c r="D100" s="39" t="s">
        <v>30</v>
      </c>
      <c r="E100" s="40" t="str">
        <f>IF(D100="SP","Paulista","Carioca")</f>
        <v>Carioca</v>
      </c>
      <c r="F100" s="40" t="str">
        <f>IF(C100&gt;500000,"Grande","Pequeno")</f>
        <v>Pequeno</v>
      </c>
    </row>
    <row r="101">
      <c r="A101" s="36">
        <v>99</v>
      </c>
      <c r="B101" s="37" t="s">
        <v>148</v>
      </c>
      <c r="C101" s="38">
        <v>67853</v>
      </c>
      <c r="D101" s="39" t="s">
        <v>30</v>
      </c>
      <c r="E101" s="40" t="str">
        <f>IF(D101="SP","Paulista","Carioca")</f>
        <v>Carioca</v>
      </c>
      <c r="F101" s="40" t="str">
        <f>IF(C101&gt;500000,"Grande","Pequeno")</f>
        <v>Pequeno</v>
      </c>
    </row>
    <row r="102">
      <c r="A102" s="36">
        <v>100</v>
      </c>
      <c r="B102" s="37" t="s">
        <v>149</v>
      </c>
      <c r="C102" s="38">
        <v>56529</v>
      </c>
      <c r="D102" s="39" t="s">
        <v>30</v>
      </c>
      <c r="E102" s="40" t="str">
        <f>IF(D102="SP","Paulista","Carioca")</f>
        <v>Carioca</v>
      </c>
      <c r="F102" s="40" t="str">
        <f>IF(C102&gt;500000,"Grande","Pequeno")</f>
        <v>Pequeno</v>
      </c>
    </row>
    <row r="103">
      <c r="A103" s="36">
        <v>101</v>
      </c>
      <c r="B103" s="37" t="s">
        <v>150</v>
      </c>
      <c r="C103" s="38">
        <v>54596</v>
      </c>
      <c r="D103" s="39" t="s">
        <v>30</v>
      </c>
      <c r="E103" s="40" t="str">
        <f>IF(D103="SP","Paulista","Carioca")</f>
        <v>Carioca</v>
      </c>
      <c r="F103" s="40" t="str">
        <f>IF(C103&gt;500000,"Grande","Pequeno")</f>
        <v>Pequeno</v>
      </c>
    </row>
    <row r="104">
      <c r="A104" s="36">
        <v>102</v>
      </c>
      <c r="B104" s="37" t="s">
        <v>151</v>
      </c>
      <c r="C104" s="38">
        <v>48688</v>
      </c>
      <c r="D104" s="39" t="s">
        <v>30</v>
      </c>
      <c r="E104" s="40" t="str">
        <f>IF(D104="SP","Paulista","Carioca")</f>
        <v>Carioca</v>
      </c>
      <c r="F104" s="40" t="str">
        <f>IF(C104&gt;500000,"Grande","Pequeno")</f>
        <v>Pequeno</v>
      </c>
    </row>
    <row r="105">
      <c r="A105" s="36">
        <v>103</v>
      </c>
      <c r="B105" s="37" t="s">
        <v>152</v>
      </c>
      <c r="C105" s="38">
        <v>47247</v>
      </c>
      <c r="D105" s="39" t="s">
        <v>30</v>
      </c>
      <c r="E105" s="40" t="str">
        <f>IF(D105="SP","Paulista","Carioca")</f>
        <v>Carioca</v>
      </c>
      <c r="F105" s="40" t="str">
        <f>IF(C105&gt;500000,"Grande","Pequeno")</f>
        <v>Pequeno</v>
      </c>
    </row>
    <row r="106">
      <c r="A106" s="36">
        <v>104</v>
      </c>
      <c r="B106" s="37" t="s">
        <v>153</v>
      </c>
      <c r="C106" s="38">
        <v>44629</v>
      </c>
      <c r="D106" s="39" t="s">
        <v>30</v>
      </c>
      <c r="E106" s="40" t="str">
        <f>IF(D106="SP","Paulista","Carioca")</f>
        <v>Carioca</v>
      </c>
      <c r="F106" s="40" t="str">
        <f>IF(C106&gt;500000,"Grande","Pequeno")</f>
        <v>Pequeno</v>
      </c>
    </row>
    <row r="107">
      <c r="A107" s="36">
        <v>105</v>
      </c>
      <c r="B107" s="37" t="s">
        <v>154</v>
      </c>
      <c r="C107" s="38">
        <v>42093</v>
      </c>
      <c r="D107" s="39" t="s">
        <v>30</v>
      </c>
      <c r="E107" s="40" t="str">
        <f>IF(D107="SP","Paulista","Carioca")</f>
        <v>Carioca</v>
      </c>
      <c r="F107" s="40" t="str">
        <f>IF(C107&gt;500000,"Grande","Pequeno")</f>
        <v>Pequeno</v>
      </c>
    </row>
    <row r="108">
      <c r="A108" s="36">
        <v>106</v>
      </c>
      <c r="B108" s="37" t="s">
        <v>155</v>
      </c>
      <c r="C108" s="38">
        <v>41315</v>
      </c>
      <c r="D108" s="39" t="s">
        <v>30</v>
      </c>
      <c r="E108" s="40" t="str">
        <f>IF(D108="SP","Paulista","Carioca")</f>
        <v>Carioca</v>
      </c>
      <c r="F108" s="40" t="str">
        <f>IF(C108&gt;500000,"Grande","Pequeno")</f>
        <v>Pequeno</v>
      </c>
    </row>
    <row r="109">
      <c r="A109" s="36">
        <v>107</v>
      </c>
      <c r="B109" s="37" t="s">
        <v>156</v>
      </c>
      <c r="C109" s="38">
        <v>39057</v>
      </c>
      <c r="D109" s="39" t="s">
        <v>30</v>
      </c>
      <c r="E109" s="40" t="str">
        <f>IF(D109="SP","Paulista","Carioca")</f>
        <v>Carioca</v>
      </c>
      <c r="F109" s="40" t="str">
        <f>IF(C109&gt;500000,"Grande","Pequeno")</f>
        <v>Pequeno</v>
      </c>
    </row>
    <row r="110">
      <c r="A110" s="36">
        <v>108</v>
      </c>
      <c r="B110" s="37" t="s">
        <v>157</v>
      </c>
      <c r="C110" s="38">
        <v>35182</v>
      </c>
      <c r="D110" s="39" t="s">
        <v>30</v>
      </c>
      <c r="E110" s="40" t="str">
        <f>IF(D110="SP","Paulista","Carioca")</f>
        <v>Carioca</v>
      </c>
      <c r="F110" s="40" t="str">
        <f>IF(C110&gt;500000,"Grande","Pequeno")</f>
        <v>Pequeno</v>
      </c>
    </row>
    <row r="111">
      <c r="A111" s="36">
        <v>109</v>
      </c>
      <c r="B111" s="37" t="s">
        <v>158</v>
      </c>
      <c r="C111" s="38">
        <v>35178</v>
      </c>
      <c r="D111" s="39" t="s">
        <v>30</v>
      </c>
      <c r="E111" s="40" t="str">
        <f>IF(D111="SP","Paulista","Carioca")</f>
        <v>Carioca</v>
      </c>
      <c r="F111" s="40" t="str">
        <f>IF(C111&gt;500000,"Grande","Pequeno")</f>
        <v>Pequeno</v>
      </c>
    </row>
    <row r="112">
      <c r="A112" s="36">
        <v>110</v>
      </c>
      <c r="B112" s="37" t="s">
        <v>159</v>
      </c>
      <c r="C112" s="38">
        <v>34595</v>
      </c>
      <c r="D112" s="39" t="s">
        <v>30</v>
      </c>
      <c r="E112" s="40" t="str">
        <f>IF(D112="SP","Paulista","Carioca")</f>
        <v>Carioca</v>
      </c>
      <c r="F112" s="40" t="str">
        <f>IF(C112&gt;500000,"Grande","Pequeno")</f>
        <v>Pequeno</v>
      </c>
    </row>
    <row r="113">
      <c r="A113" s="36">
        <v>111</v>
      </c>
      <c r="B113" s="37" t="s">
        <v>160</v>
      </c>
      <c r="C113" s="38">
        <v>34024</v>
      </c>
      <c r="D113" s="39" t="s">
        <v>30</v>
      </c>
      <c r="E113" s="40" t="str">
        <f>IF(D113="SP","Paulista","Carioca")</f>
        <v>Carioca</v>
      </c>
      <c r="F113" s="40" t="str">
        <f>IF(C113&gt;500000,"Grande","Pequeno")</f>
        <v>Pequeno</v>
      </c>
    </row>
    <row r="114">
      <c r="A114" s="36">
        <v>112</v>
      </c>
      <c r="B114" s="37" t="s">
        <v>161</v>
      </c>
      <c r="C114" s="38">
        <v>31848</v>
      </c>
      <c r="D114" s="39" t="s">
        <v>30</v>
      </c>
      <c r="E114" s="40" t="str">
        <f>IF(D114="SP","Paulista","Carioca")</f>
        <v>Carioca</v>
      </c>
      <c r="F114" s="40" t="str">
        <f>IF(C114&gt;500000,"Grande","Pequeno")</f>
        <v>Pequeno</v>
      </c>
    </row>
    <row r="115">
      <c r="A115" s="36">
        <v>113</v>
      </c>
      <c r="B115" s="37" t="s">
        <v>162</v>
      </c>
      <c r="C115" s="38">
        <v>30348</v>
      </c>
      <c r="D115" s="39" t="s">
        <v>30</v>
      </c>
      <c r="E115" s="40" t="str">
        <f>IF(D115="SP","Paulista","Carioca")</f>
        <v>Carioca</v>
      </c>
      <c r="F115" s="40" t="str">
        <f>IF(C115&gt;500000,"Grande","Pequeno")</f>
        <v>Pequeno</v>
      </c>
    </row>
    <row r="116">
      <c r="A116" s="36">
        <v>114</v>
      </c>
      <c r="B116" s="37" t="s">
        <v>163</v>
      </c>
      <c r="C116" s="38">
        <v>30139</v>
      </c>
      <c r="D116" s="39" t="s">
        <v>30</v>
      </c>
      <c r="E116" s="40" t="str">
        <f>IF(D116="SP","Paulista","Carioca")</f>
        <v>Carioca</v>
      </c>
      <c r="F116" s="40" t="str">
        <f>IF(C116&gt;500000,"Grande","Pequeno")</f>
        <v>Pequeno</v>
      </c>
    </row>
  </sheetData>
  <mergeCells count="1">
    <mergeCell ref="A1:F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-0.499984740745262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cols>
    <col bestFit="1" min="2" max="2" width="25.65234375"/>
    <col customWidth="1" min="3" max="3" width="16.421875"/>
    <col bestFit="1" min="6" max="6" width="11.8515625"/>
  </cols>
  <sheetData>
    <row r="1">
      <c r="A1" s="45" t="s">
        <v>17</v>
      </c>
      <c r="B1" s="46"/>
      <c r="C1" s="46"/>
      <c r="D1" s="46"/>
      <c r="E1" s="46"/>
      <c r="F1" s="47"/>
    </row>
    <row r="2">
      <c r="A2" s="31" t="s">
        <v>18</v>
      </c>
      <c r="B2" s="32" t="s">
        <v>19</v>
      </c>
      <c r="C2" s="33" t="s">
        <v>14</v>
      </c>
      <c r="D2" s="34" t="s">
        <v>20</v>
      </c>
      <c r="E2" s="34" t="s">
        <v>194</v>
      </c>
      <c r="F2" s="34" t="s">
        <v>195</v>
      </c>
    </row>
    <row r="3">
      <c r="A3" s="36">
        <v>1</v>
      </c>
      <c r="B3" s="37" t="s">
        <v>24</v>
      </c>
      <c r="C3" s="48">
        <v>10990249</v>
      </c>
      <c r="D3" s="39" t="s">
        <v>25</v>
      </c>
      <c r="E3" s="40" t="str">
        <f>IF(D3="SP","Paulista","Carioca")</f>
        <v>Paulista</v>
      </c>
      <c r="F3" s="40" t="str">
        <f>IF(C3&gt;500000,"Grande","Pequeno")</f>
        <v>Grande</v>
      </c>
    </row>
    <row r="4">
      <c r="A4" s="36">
        <v>2</v>
      </c>
      <c r="B4" s="37" t="s">
        <v>29</v>
      </c>
      <c r="C4" s="48">
        <v>6161047</v>
      </c>
      <c r="D4" s="39" t="s">
        <v>30</v>
      </c>
      <c r="E4" s="40" t="str">
        <f>IF(D4="SP","Paulista","Carioca")</f>
        <v>Carioca</v>
      </c>
      <c r="F4" s="40" t="str">
        <f>IF(C4&gt;500000,"Grande","Pequeno")</f>
        <v>Grande</v>
      </c>
    </row>
    <row r="5">
      <c r="A5" s="36">
        <v>3</v>
      </c>
      <c r="B5" s="37" t="s">
        <v>34</v>
      </c>
      <c r="C5" s="48">
        <v>1279202</v>
      </c>
      <c r="D5" s="39" t="s">
        <v>25</v>
      </c>
      <c r="E5" s="40" t="str">
        <f>IF(D5="SP","Paulista","Carioca")</f>
        <v>Paulista</v>
      </c>
      <c r="F5" s="40" t="str">
        <f>IF(C5&gt;500000,"Grande","Pequeno")</f>
        <v>Grande</v>
      </c>
    </row>
    <row r="6">
      <c r="A6" s="36">
        <v>4</v>
      </c>
      <c r="B6" s="37" t="s">
        <v>38</v>
      </c>
      <c r="C6" s="48">
        <v>1056644</v>
      </c>
      <c r="D6" s="39" t="s">
        <v>25</v>
      </c>
      <c r="E6" s="40" t="str">
        <f>IF(D6="SP","Paulista","Carioca")</f>
        <v>Paulista</v>
      </c>
      <c r="F6" s="40" t="str">
        <f>IF(C6&gt;500000,"Grande","Pequeno")</f>
        <v>Grande</v>
      </c>
    </row>
    <row r="7">
      <c r="A7" s="36">
        <v>5</v>
      </c>
      <c r="B7" s="37" t="s">
        <v>42</v>
      </c>
      <c r="C7" s="48">
        <v>982832</v>
      </c>
      <c r="D7" s="39" t="s">
        <v>30</v>
      </c>
      <c r="E7" s="40" t="str">
        <f>IF(D7="SP","Paulista","Carioca")</f>
        <v>Carioca</v>
      </c>
      <c r="F7" s="40" t="str">
        <f>IF(C7&gt;500000,"Grande","Pequeno")</f>
        <v>Grande</v>
      </c>
    </row>
    <row r="8">
      <c r="A8" s="36">
        <v>6</v>
      </c>
      <c r="B8" s="37" t="s">
        <v>46</v>
      </c>
      <c r="C8" s="48">
        <v>864392</v>
      </c>
      <c r="D8" s="39" t="s">
        <v>30</v>
      </c>
      <c r="E8" s="40" t="str">
        <f>IF(D8="SP","Paulista","Carioca")</f>
        <v>Carioca</v>
      </c>
      <c r="F8" s="40" t="str">
        <f>IF(C8&gt;500000,"Grande","Pequeno")</f>
        <v>Grande</v>
      </c>
    </row>
    <row r="9">
      <c r="A9" s="36">
        <v>7</v>
      </c>
      <c r="B9" s="37" t="s">
        <v>50</v>
      </c>
      <c r="C9" s="48">
        <v>855500</v>
      </c>
      <c r="D9" s="39" t="s">
        <v>30</v>
      </c>
      <c r="E9" s="40" t="str">
        <f>IF(D9="SP","Paulista","Carioca")</f>
        <v>Carioca</v>
      </c>
      <c r="F9" s="40" t="str">
        <f>IF(C9&gt;500000,"Grande","Pequeno")</f>
        <v>Grande</v>
      </c>
    </row>
    <row r="10">
      <c r="A10" s="36">
        <v>8</v>
      </c>
      <c r="B10" s="37" t="s">
        <v>53</v>
      </c>
      <c r="C10" s="48">
        <v>801580</v>
      </c>
      <c r="D10" s="39" t="s">
        <v>25</v>
      </c>
      <c r="E10" s="40" t="str">
        <f>IF(D10="SP","Paulista","Carioca")</f>
        <v>Paulista</v>
      </c>
      <c r="F10" s="40" t="str">
        <f>IF(C10&gt;500000,"Grande","Pequeno")</f>
        <v>Grande</v>
      </c>
    </row>
    <row r="11">
      <c r="A11" s="36">
        <v>9</v>
      </c>
      <c r="B11" s="37" t="s">
        <v>55</v>
      </c>
      <c r="C11" s="48">
        <v>713066</v>
      </c>
      <c r="D11" s="39" t="s">
        <v>25</v>
      </c>
      <c r="E11" s="40" t="str">
        <f>IF(D11="SP","Paulista","Carioca")</f>
        <v>Paulista</v>
      </c>
      <c r="F11" s="40" t="str">
        <f>IF(C11&gt;500000,"Grande","Pequeno")</f>
        <v>Grande</v>
      </c>
    </row>
    <row r="12">
      <c r="A12" s="36">
        <v>10</v>
      </c>
      <c r="B12" s="37" t="s">
        <v>57</v>
      </c>
      <c r="C12" s="48">
        <v>671696</v>
      </c>
      <c r="D12" s="39" t="s">
        <v>25</v>
      </c>
      <c r="E12" s="40" t="str">
        <f>IF(D12="SP","Paulista","Carioca")</f>
        <v>Paulista</v>
      </c>
      <c r="F12" s="40" t="str">
        <f>IF(C12&gt;500000,"Grande","Pequeno")</f>
        <v>Grande</v>
      </c>
    </row>
    <row r="13">
      <c r="A13" s="36">
        <v>11</v>
      </c>
      <c r="B13" s="37" t="s">
        <v>59</v>
      </c>
      <c r="C13" s="48">
        <v>636425</v>
      </c>
      <c r="D13" s="39" t="s">
        <v>25</v>
      </c>
      <c r="E13" s="40" t="str">
        <f>IF(D13="SP","Paulista","Carioca")</f>
        <v>Paulista</v>
      </c>
      <c r="F13" s="40" t="str">
        <f>IF(C13&gt;500000,"Grande","Pequeno")</f>
        <v>Grande</v>
      </c>
    </row>
    <row r="14">
      <c r="A14" s="36">
        <v>12</v>
      </c>
      <c r="B14" s="37" t="s">
        <v>61</v>
      </c>
      <c r="C14" s="48">
        <v>576312</v>
      </c>
      <c r="D14" s="39" t="s">
        <v>25</v>
      </c>
      <c r="E14" s="40" t="str">
        <f>IF(D14="SP","Paulista","Carioca")</f>
        <v>Paulista</v>
      </c>
      <c r="F14" s="40" t="str">
        <f>IF(C14&gt;500000,"Grande","Pequeno")</f>
        <v>Grande</v>
      </c>
    </row>
    <row r="15">
      <c r="A15" s="36">
        <v>13</v>
      </c>
      <c r="B15" s="37" t="s">
        <v>62</v>
      </c>
      <c r="C15" s="48">
        <v>558136</v>
      </c>
      <c r="D15" s="39" t="s">
        <v>25</v>
      </c>
      <c r="E15" s="40" t="str">
        <f>IF(D15="SP","Paulista","Carioca")</f>
        <v>Paulista</v>
      </c>
      <c r="F15" s="40" t="str">
        <f>IF(C15&gt;500000,"Grande","Pequeno")</f>
        <v>Grande</v>
      </c>
    </row>
    <row r="16">
      <c r="A16" s="36">
        <v>14</v>
      </c>
      <c r="B16" s="37" t="s">
        <v>63</v>
      </c>
      <c r="C16" s="48">
        <v>495694</v>
      </c>
      <c r="D16" s="39" t="s">
        <v>30</v>
      </c>
      <c r="E16" s="40" t="str">
        <f>IF(D16="SP","Paulista","Carioca")</f>
        <v>Carioca</v>
      </c>
      <c r="F16" s="40" t="str">
        <f>IF(C16&gt;500000,"Grande","Pequeno")</f>
        <v>Pequeno</v>
      </c>
    </row>
    <row r="17">
      <c r="A17" s="36">
        <v>15</v>
      </c>
      <c r="B17" s="37" t="s">
        <v>64</v>
      </c>
      <c r="C17" s="48">
        <v>477912</v>
      </c>
      <c r="D17" s="39" t="s">
        <v>30</v>
      </c>
      <c r="E17" s="40" t="str">
        <f>IF(D17="SP","Paulista","Carioca")</f>
        <v>Carioca</v>
      </c>
      <c r="F17" s="40" t="str">
        <f>IF(C17&gt;500000,"Grande","Pequeno")</f>
        <v>Pequeno</v>
      </c>
    </row>
    <row r="18">
      <c r="A18" s="36">
        <v>16</v>
      </c>
      <c r="B18" s="37" t="s">
        <v>65</v>
      </c>
      <c r="C18" s="48">
        <v>468309</v>
      </c>
      <c r="D18" s="39" t="s">
        <v>30</v>
      </c>
      <c r="E18" s="40" t="str">
        <f>IF(D18="SP","Paulista","Carioca")</f>
        <v>Carioca</v>
      </c>
      <c r="F18" s="40" t="str">
        <f>IF(C18&gt;500000,"Grande","Pequeno")</f>
        <v>Pequeno</v>
      </c>
    </row>
    <row r="19">
      <c r="A19" s="36">
        <v>17</v>
      </c>
      <c r="B19" s="37" t="s">
        <v>66</v>
      </c>
      <c r="C19" s="48">
        <v>431839</v>
      </c>
      <c r="D19" s="39" t="s">
        <v>30</v>
      </c>
      <c r="E19" s="40" t="str">
        <f>IF(D19="SP","Paulista","Carioca")</f>
        <v>Carioca</v>
      </c>
      <c r="F19" s="40" t="str">
        <f>IF(C19&gt;500000,"Grande","Pequeno")</f>
        <v>Pequeno</v>
      </c>
    </row>
    <row r="20">
      <c r="A20" s="36">
        <v>18</v>
      </c>
      <c r="B20" s="37" t="s">
        <v>67</v>
      </c>
      <c r="C20" s="48">
        <v>417518</v>
      </c>
      <c r="D20" s="39" t="s">
        <v>25</v>
      </c>
      <c r="E20" s="40" t="str">
        <f>IF(D20="SP","Paulista","Carioca")</f>
        <v>Paulista</v>
      </c>
      <c r="F20" s="40" t="str">
        <f>IF(C20&gt;500000,"Grande","Pequeno")</f>
        <v>Pequeno</v>
      </c>
    </row>
    <row r="21">
      <c r="A21" s="36">
        <v>19</v>
      </c>
      <c r="B21" s="37" t="s">
        <v>68</v>
      </c>
      <c r="C21" s="48">
        <v>414272</v>
      </c>
      <c r="D21" s="39" t="s">
        <v>25</v>
      </c>
      <c r="E21" s="40" t="str">
        <f>IF(D21="SP","Paulista","Carioca")</f>
        <v>Paulista</v>
      </c>
      <c r="F21" s="40" t="str">
        <f>IF(C21&gt;500000,"Grande","Pequeno")</f>
        <v>Pequeno</v>
      </c>
    </row>
    <row r="22">
      <c r="A22" s="36">
        <v>20</v>
      </c>
      <c r="B22" s="37" t="s">
        <v>69</v>
      </c>
      <c r="C22" s="48">
        <v>412753</v>
      </c>
      <c r="D22" s="39" t="s">
        <v>25</v>
      </c>
      <c r="E22" s="40" t="str">
        <f>IF(D22="SP","Paulista","Carioca")</f>
        <v>Paulista</v>
      </c>
      <c r="F22" s="40" t="str">
        <f>IF(C22&gt;500000,"Grande","Pequeno")</f>
        <v>Pequeno</v>
      </c>
    </row>
    <row r="23">
      <c r="A23" s="36">
        <v>21</v>
      </c>
      <c r="B23" s="37" t="s">
        <v>70</v>
      </c>
      <c r="C23" s="48">
        <v>394266</v>
      </c>
      <c r="D23" s="39" t="s">
        <v>25</v>
      </c>
      <c r="E23" s="40" t="str">
        <f>IF(D23="SP","Paulista","Carioca")</f>
        <v>Paulista</v>
      </c>
      <c r="F23" s="40" t="str">
        <f>IF(C23&gt;500000,"Grande","Pequeno")</f>
        <v>Pequeno</v>
      </c>
    </row>
    <row r="24">
      <c r="A24" s="36">
        <v>22</v>
      </c>
      <c r="B24" s="37" t="s">
        <v>71</v>
      </c>
      <c r="C24" s="48">
        <v>388532</v>
      </c>
      <c r="D24" s="39" t="s">
        <v>25</v>
      </c>
      <c r="E24" s="40" t="str">
        <f>IF(D24="SP","Paulista","Carioca")</f>
        <v>Paulista</v>
      </c>
      <c r="F24" s="40" t="str">
        <f>IF(C24&gt;500000,"Grande","Pequeno")</f>
        <v>Pequeno</v>
      </c>
    </row>
    <row r="25">
      <c r="A25" s="36">
        <v>23</v>
      </c>
      <c r="B25" s="37" t="s">
        <v>72</v>
      </c>
      <c r="C25" s="48">
        <v>371372</v>
      </c>
      <c r="D25" s="39" t="s">
        <v>25</v>
      </c>
      <c r="E25" s="40" t="str">
        <f>IF(D25="SP","Paulista","Carioca")</f>
        <v>Paulista</v>
      </c>
      <c r="F25" s="40" t="str">
        <f>IF(C25&gt;500000,"Grande","Pequeno")</f>
        <v>Pequeno</v>
      </c>
    </row>
    <row r="26">
      <c r="A26" s="36">
        <v>24</v>
      </c>
      <c r="B26" s="37" t="s">
        <v>73</v>
      </c>
      <c r="C26" s="48">
        <v>365440</v>
      </c>
      <c r="D26" s="39" t="s">
        <v>25</v>
      </c>
      <c r="E26" s="40" t="str">
        <f>IF(D26="SP","Paulista","Carioca")</f>
        <v>Paulista</v>
      </c>
      <c r="F26" s="40" t="str">
        <f>IF(C26&gt;500000,"Grande","Pequeno")</f>
        <v>Pequeno</v>
      </c>
    </row>
    <row r="27">
      <c r="A27" s="36">
        <v>25</v>
      </c>
      <c r="B27" s="37" t="s">
        <v>74</v>
      </c>
      <c r="C27" s="48">
        <v>355675</v>
      </c>
      <c r="D27" s="39" t="s">
        <v>25</v>
      </c>
      <c r="E27" s="40" t="str">
        <f>IF(D27="SP","Paulista","Carioca")</f>
        <v>Paulista</v>
      </c>
      <c r="F27" s="40" t="str">
        <f>IF(C27&gt;500000,"Grande","Pequeno")</f>
        <v>Pequeno</v>
      </c>
    </row>
    <row r="28">
      <c r="A28" s="36">
        <v>26</v>
      </c>
      <c r="B28" s="37" t="s">
        <v>75</v>
      </c>
      <c r="C28" s="48">
        <v>351493</v>
      </c>
      <c r="D28" s="39" t="s">
        <v>25</v>
      </c>
      <c r="E28" s="40" t="str">
        <f>IF(D28="SP","Paulista","Carioca")</f>
        <v>Paulista</v>
      </c>
      <c r="F28" s="40" t="str">
        <f>IF(C28&gt;500000,"Grande","Pequeno")</f>
        <v>Pequeno</v>
      </c>
    </row>
    <row r="29">
      <c r="A29" s="36">
        <v>27</v>
      </c>
      <c r="B29" s="37" t="s">
        <v>76</v>
      </c>
      <c r="C29" s="48">
        <v>347738</v>
      </c>
      <c r="D29" s="39" t="s">
        <v>25</v>
      </c>
      <c r="E29" s="40" t="str">
        <f>IF(D29="SP","Paulista","Carioca")</f>
        <v>Paulista</v>
      </c>
      <c r="F29" s="40" t="str">
        <f>IF(C29&gt;500000,"Grande","Pequeno")</f>
        <v>Pequeno</v>
      </c>
    </row>
    <row r="30">
      <c r="A30" s="36">
        <v>28</v>
      </c>
      <c r="B30" s="37" t="s">
        <v>77</v>
      </c>
      <c r="C30" s="48">
        <v>328522</v>
      </c>
      <c r="D30" s="39" t="s">
        <v>25</v>
      </c>
      <c r="E30" s="40" t="str">
        <f>IF(D30="SP","Paulista","Carioca")</f>
        <v>Paulista</v>
      </c>
      <c r="F30" s="40" t="str">
        <f>IF(C30&gt;500000,"Grande","Pequeno")</f>
        <v>Pequeno</v>
      </c>
    </row>
    <row r="31">
      <c r="A31" s="36">
        <v>29</v>
      </c>
      <c r="B31" s="37" t="s">
        <v>78</v>
      </c>
      <c r="C31" s="48">
        <v>327176</v>
      </c>
      <c r="D31" s="39" t="s">
        <v>25</v>
      </c>
      <c r="E31" s="40" t="str">
        <f>IF(D31="SP","Paulista","Carioca")</f>
        <v>Paulista</v>
      </c>
      <c r="F31" s="40" t="str">
        <f>IF(C31&gt;500000,"Grande","Pequeno")</f>
        <v>Pequeno</v>
      </c>
    </row>
    <row r="32">
      <c r="A32" s="36">
        <v>30</v>
      </c>
      <c r="B32" s="37" t="s">
        <v>79</v>
      </c>
      <c r="C32" s="48">
        <v>312766</v>
      </c>
      <c r="D32" s="39" t="s">
        <v>30</v>
      </c>
      <c r="E32" s="40" t="str">
        <f>IF(D32="SP","Paulista","Carioca")</f>
        <v>Carioca</v>
      </c>
      <c r="F32" s="40" t="str">
        <f>IF(C32&gt;500000,"Grande","Pequeno")</f>
        <v>Pequeno</v>
      </c>
    </row>
    <row r="33">
      <c r="A33" s="36">
        <v>31</v>
      </c>
      <c r="B33" s="37" t="s">
        <v>80</v>
      </c>
      <c r="C33" s="48">
        <v>304274</v>
      </c>
      <c r="D33" s="39" t="s">
        <v>25</v>
      </c>
      <c r="E33" s="40" t="str">
        <f>IF(D33="SP","Paulista","Carioca")</f>
        <v>Paulista</v>
      </c>
      <c r="F33" s="40" t="str">
        <f>IF(C33&gt;500000,"Grande","Pequeno")</f>
        <v>Pequeno</v>
      </c>
    </row>
    <row r="34">
      <c r="A34" s="36">
        <v>32</v>
      </c>
      <c r="B34" s="37" t="s">
        <v>81</v>
      </c>
      <c r="C34" s="48">
        <v>279394</v>
      </c>
      <c r="D34" s="39" t="s">
        <v>25</v>
      </c>
      <c r="E34" s="40" t="str">
        <f>IF(D34="SP","Paulista","Carioca")</f>
        <v>Paulista</v>
      </c>
      <c r="F34" s="40" t="str">
        <f>IF(C34&gt;500000,"Grande","Pequeno")</f>
        <v>Pequeno</v>
      </c>
    </row>
    <row r="35">
      <c r="A35" s="36">
        <v>33</v>
      </c>
      <c r="B35" s="37" t="s">
        <v>82</v>
      </c>
      <c r="C35" s="48">
        <v>278776</v>
      </c>
      <c r="D35" s="39" t="s">
        <v>25</v>
      </c>
      <c r="E35" s="40" t="str">
        <f>IF(D35="SP","Paulista","Carioca")</f>
        <v>Paulista</v>
      </c>
      <c r="F35" s="40" t="str">
        <f>IF(C35&gt;500000,"Grande","Pequeno")</f>
        <v>Pequeno</v>
      </c>
    </row>
    <row r="36">
      <c r="A36" s="36">
        <v>34</v>
      </c>
      <c r="B36" s="37" t="s">
        <v>83</v>
      </c>
      <c r="C36" s="48">
        <v>270918</v>
      </c>
      <c r="D36" s="39" t="s">
        <v>25</v>
      </c>
      <c r="E36" s="40" t="str">
        <f>IF(D36="SP","Paulista","Carioca")</f>
        <v>Paulista</v>
      </c>
      <c r="F36" s="40" t="str">
        <f>IF(C36&gt;500000,"Grande","Pequeno")</f>
        <v>Pequeno</v>
      </c>
    </row>
    <row r="37">
      <c r="A37" s="36">
        <v>35</v>
      </c>
      <c r="B37" s="37" t="s">
        <v>84</v>
      </c>
      <c r="C37" s="48">
        <v>264619</v>
      </c>
      <c r="D37" s="39" t="s">
        <v>25</v>
      </c>
      <c r="E37" s="40" t="str">
        <f>IF(D37="SP","Paulista","Carioca")</f>
        <v>Paulista</v>
      </c>
      <c r="F37" s="40" t="str">
        <f>IF(C37&gt;500000,"Grande","Pequeno")</f>
        <v>Pequeno</v>
      </c>
    </row>
    <row r="38">
      <c r="A38" s="36">
        <v>36</v>
      </c>
      <c r="B38" s="37" t="s">
        <v>85</v>
      </c>
      <c r="C38" s="48">
        <v>259811</v>
      </c>
      <c r="D38" s="39" t="s">
        <v>30</v>
      </c>
      <c r="E38" s="40" t="str">
        <f>IF(D38="SP","Paulista","Carioca")</f>
        <v>Carioca</v>
      </c>
      <c r="F38" s="40" t="str">
        <f>IF(C38&gt;500000,"Grande","Pequeno")</f>
        <v>Pequeno</v>
      </c>
    </row>
    <row r="39">
      <c r="A39" s="36">
        <v>37</v>
      </c>
      <c r="B39" s="37" t="s">
        <v>86</v>
      </c>
      <c r="C39" s="48">
        <v>245093</v>
      </c>
      <c r="D39" s="39" t="s">
        <v>25</v>
      </c>
      <c r="E39" s="40" t="str">
        <f>IF(D39="SP","Paulista","Carioca")</f>
        <v>Paulista</v>
      </c>
      <c r="F39" s="40" t="str">
        <f>IF(C39&gt;500000,"Grande","Pequeno")</f>
        <v>Pequeno</v>
      </c>
    </row>
    <row r="40">
      <c r="A40" s="36">
        <v>38</v>
      </c>
      <c r="B40" s="37" t="s">
        <v>87</v>
      </c>
      <c r="C40" s="48">
        <v>244533</v>
      </c>
      <c r="D40" s="39" t="s">
        <v>25</v>
      </c>
      <c r="E40" s="40" t="str">
        <f>IF(D40="SP","Paulista","Carioca")</f>
        <v>Paulista</v>
      </c>
      <c r="F40" s="40" t="str">
        <f>IF(C40&gt;500000,"Grande","Pequeno")</f>
        <v>Pequeno</v>
      </c>
    </row>
    <row r="41">
      <c r="A41" s="36">
        <v>39</v>
      </c>
      <c r="B41" s="37" t="s">
        <v>88</v>
      </c>
      <c r="C41" s="48">
        <v>240940</v>
      </c>
      <c r="D41" s="39" t="s">
        <v>30</v>
      </c>
      <c r="E41" s="40" t="str">
        <f>IF(D41="SP","Paulista","Carioca")</f>
        <v>Carioca</v>
      </c>
      <c r="F41" s="40" t="str">
        <f>IF(C41&gt;500000,"Grande","Pequeno")</f>
        <v>Pequeno</v>
      </c>
    </row>
    <row r="42">
      <c r="A42" s="36">
        <v>40</v>
      </c>
      <c r="B42" s="37" t="s">
        <v>89</v>
      </c>
      <c r="C42" s="48">
        <v>237135</v>
      </c>
      <c r="D42" s="39" t="s">
        <v>25</v>
      </c>
      <c r="E42" s="40" t="str">
        <f>IF(D42="SP","Paulista","Carioca")</f>
        <v>Paulista</v>
      </c>
      <c r="F42" s="40" t="str">
        <f>IF(C42&gt;500000,"Grande","Pequeno")</f>
        <v>Pequeno</v>
      </c>
    </row>
    <row r="43">
      <c r="A43" s="36">
        <v>41</v>
      </c>
      <c r="B43" s="37" t="s">
        <v>90</v>
      </c>
      <c r="C43" s="48">
        <v>225309</v>
      </c>
      <c r="D43" s="39" t="s">
        <v>30</v>
      </c>
      <c r="E43" s="40" t="str">
        <f>IF(D43="SP","Paulista","Carioca")</f>
        <v>Carioca</v>
      </c>
      <c r="F43" s="40" t="str">
        <f>IF(C43&gt;500000,"Grande","Pequeno")</f>
        <v>Pequeno</v>
      </c>
    </row>
    <row r="44">
      <c r="A44" s="36">
        <v>42</v>
      </c>
      <c r="B44" s="37" t="s">
        <v>91</v>
      </c>
      <c r="C44" s="48">
        <v>224757</v>
      </c>
      <c r="D44" s="39" t="s">
        <v>25</v>
      </c>
      <c r="E44" s="40" t="str">
        <f>IF(D44="SP","Paulista","Carioca")</f>
        <v>Paulista</v>
      </c>
      <c r="F44" s="40" t="str">
        <f>IF(C44&gt;500000,"Grande","Pequeno")</f>
        <v>Pequeno</v>
      </c>
    </row>
    <row r="45">
      <c r="A45" s="36">
        <v>43</v>
      </c>
      <c r="B45" s="37" t="s">
        <v>92</v>
      </c>
      <c r="C45" s="48">
        <v>223454</v>
      </c>
      <c r="D45" s="39" t="s">
        <v>25</v>
      </c>
      <c r="E45" s="40" t="str">
        <f>IF(D45="SP","Paulista","Carioca")</f>
        <v>Paulista</v>
      </c>
      <c r="F45" s="40" t="str">
        <f>IF(C45&gt;500000,"Grande","Pequeno")</f>
        <v>Pequeno</v>
      </c>
    </row>
    <row r="46">
      <c r="A46" s="36">
        <v>44</v>
      </c>
      <c r="B46" s="37" t="s">
        <v>93</v>
      </c>
      <c r="C46" s="48">
        <v>218080</v>
      </c>
      <c r="D46" s="39" t="s">
        <v>25</v>
      </c>
      <c r="E46" s="40" t="str">
        <f>IF(D46="SP","Paulista","Carioca")</f>
        <v>Paulista</v>
      </c>
      <c r="F46" s="40" t="str">
        <f>IF(C46&gt;500000,"Grande","Pequeno")</f>
        <v>Pequeno</v>
      </c>
    </row>
    <row r="47">
      <c r="A47" s="36">
        <v>45</v>
      </c>
      <c r="B47" s="37" t="s">
        <v>94</v>
      </c>
      <c r="C47" s="48">
        <v>210988</v>
      </c>
      <c r="D47" s="39" t="s">
        <v>25</v>
      </c>
      <c r="E47" s="40" t="str">
        <f>IF(D47="SP","Paulista","Carioca")</f>
        <v>Paulista</v>
      </c>
      <c r="F47" s="40" t="str">
        <f>IF(C47&gt;500000,"Grande","Pequeno")</f>
        <v>Pequeno</v>
      </c>
    </row>
    <row r="48">
      <c r="A48" s="36">
        <v>46</v>
      </c>
      <c r="B48" s="37" t="s">
        <v>95</v>
      </c>
      <c r="C48" s="48">
        <v>206164</v>
      </c>
      <c r="D48" s="39" t="s">
        <v>25</v>
      </c>
      <c r="E48" s="40" t="str">
        <f>IF(D48="SP","Paulista","Carioca")</f>
        <v>Paulista</v>
      </c>
      <c r="F48" s="40" t="str">
        <f>IF(C48&gt;500000,"Grande","Pequeno")</f>
        <v>Pequeno</v>
      </c>
    </row>
    <row r="49">
      <c r="A49" s="36">
        <v>47</v>
      </c>
      <c r="B49" s="37" t="s">
        <v>96</v>
      </c>
      <c r="C49" s="48">
        <v>203283</v>
      </c>
      <c r="D49" s="39" t="s">
        <v>25</v>
      </c>
      <c r="E49" s="40" t="str">
        <f>IF(D49="SP","Paulista","Carioca")</f>
        <v>Paulista</v>
      </c>
      <c r="F49" s="40" t="str">
        <f>IF(C49&gt;500000,"Grande","Pequeno")</f>
        <v>Pequeno</v>
      </c>
    </row>
    <row r="50">
      <c r="A50" s="36">
        <v>48</v>
      </c>
      <c r="B50" s="37" t="s">
        <v>97</v>
      </c>
      <c r="C50" s="48">
        <v>201995</v>
      </c>
      <c r="D50" s="39" t="s">
        <v>25</v>
      </c>
      <c r="E50" s="40" t="str">
        <f>IF(D50="SP","Paulista","Carioca")</f>
        <v>Paulista</v>
      </c>
      <c r="F50" s="40" t="str">
        <f>IF(C50&gt;500000,"Grande","Pequeno")</f>
        <v>Pequeno</v>
      </c>
    </row>
    <row r="51">
      <c r="A51" s="36">
        <v>49</v>
      </c>
      <c r="B51" s="37" t="s">
        <v>98</v>
      </c>
      <c r="C51" s="48">
        <v>201049</v>
      </c>
      <c r="D51" s="39" t="s">
        <v>25</v>
      </c>
      <c r="E51" s="40" t="str">
        <f>IF(D51="SP","Paulista","Carioca")</f>
        <v>Paulista</v>
      </c>
      <c r="F51" s="40" t="str">
        <f>IF(C51&gt;500000,"Grande","Pequeno")</f>
        <v>Pequeno</v>
      </c>
    </row>
    <row r="52">
      <c r="A52" s="36">
        <v>50</v>
      </c>
      <c r="B52" s="37" t="s">
        <v>99</v>
      </c>
      <c r="C52" s="48">
        <v>199132</v>
      </c>
      <c r="D52" s="39" t="s">
        <v>25</v>
      </c>
      <c r="E52" s="40" t="str">
        <f>IF(D52="SP","Paulista","Carioca")</f>
        <v>Paulista</v>
      </c>
      <c r="F52" s="40" t="str">
        <f>IF(C52&gt;500000,"Grande","Pequeno")</f>
        <v>Pequeno</v>
      </c>
    </row>
    <row r="53">
      <c r="A53" s="36">
        <v>51</v>
      </c>
      <c r="B53" s="37" t="s">
        <v>100</v>
      </c>
      <c r="C53" s="48">
        <v>189834</v>
      </c>
      <c r="D53" s="39" t="s">
        <v>25</v>
      </c>
      <c r="E53" s="40" t="str">
        <f>IF(D53="SP","Paulista","Carioca")</f>
        <v>Paulista</v>
      </c>
      <c r="F53" s="40" t="str">
        <f>IF(C53&gt;500000,"Grande","Pequeno")</f>
        <v>Pequeno</v>
      </c>
    </row>
    <row r="54">
      <c r="A54" s="36">
        <v>52</v>
      </c>
      <c r="B54" s="37" t="s">
        <v>101</v>
      </c>
      <c r="C54" s="48">
        <v>188787</v>
      </c>
      <c r="D54" s="39" t="s">
        <v>30</v>
      </c>
      <c r="E54" s="40" t="str">
        <f>IF(D54="SP","Paulista","Carioca")</f>
        <v>Carioca</v>
      </c>
      <c r="F54" s="40" t="str">
        <f>IF(C54&gt;500000,"Grande","Pequeno")</f>
        <v>Pequeno</v>
      </c>
    </row>
    <row r="55">
      <c r="A55" s="36">
        <v>53</v>
      </c>
      <c r="B55" s="37" t="s">
        <v>102</v>
      </c>
      <c r="C55" s="48">
        <v>187949</v>
      </c>
      <c r="D55" s="39" t="s">
        <v>30</v>
      </c>
      <c r="E55" s="40" t="str">
        <f>IF(D55="SP","Paulista","Carioca")</f>
        <v>Carioca</v>
      </c>
      <c r="F55" s="40" t="str">
        <f>IF(C55&gt;500000,"Grande","Pequeno")</f>
        <v>Pequeno</v>
      </c>
    </row>
    <row r="56">
      <c r="A56" s="36">
        <v>54</v>
      </c>
      <c r="B56" s="37" t="s">
        <v>103</v>
      </c>
      <c r="C56" s="48">
        <v>187908</v>
      </c>
      <c r="D56" s="39" t="s">
        <v>25</v>
      </c>
      <c r="E56" s="40" t="str">
        <f>IF(D56="SP","Paulista","Carioca")</f>
        <v>Paulista</v>
      </c>
      <c r="F56" s="40" t="str">
        <f>IF(C56&gt;500000,"Grande","Pequeno")</f>
        <v>Pequeno</v>
      </c>
    </row>
    <row r="57">
      <c r="A57" s="36">
        <v>55</v>
      </c>
      <c r="B57" s="37" t="s">
        <v>104</v>
      </c>
      <c r="C57" s="48">
        <v>181143</v>
      </c>
      <c r="D57" s="39" t="s">
        <v>25</v>
      </c>
      <c r="E57" s="40" t="str">
        <f>IF(D57="SP","Paulista","Carioca")</f>
        <v>Paulista</v>
      </c>
      <c r="F57" s="40" t="str">
        <f>IF(C57&gt;500000,"Grande","Pequeno")</f>
        <v>Pequeno</v>
      </c>
    </row>
    <row r="58">
      <c r="A58" s="36">
        <v>56</v>
      </c>
      <c r="B58" s="37" t="s">
        <v>105</v>
      </c>
      <c r="C58" s="48">
        <v>180635</v>
      </c>
      <c r="D58" s="39" t="s">
        <v>30</v>
      </c>
      <c r="E58" s="40" t="str">
        <f>IF(D58="SP","Paulista","Carioca")</f>
        <v>Carioca</v>
      </c>
      <c r="F58" s="40" t="str">
        <f>IF(C58&gt;500000,"Grande","Pequeno")</f>
        <v>Pequeno</v>
      </c>
    </row>
    <row r="59">
      <c r="A59" s="36">
        <v>57</v>
      </c>
      <c r="B59" s="37" t="s">
        <v>106</v>
      </c>
      <c r="C59" s="48">
        <v>180524</v>
      </c>
      <c r="D59" s="39" t="s">
        <v>25</v>
      </c>
      <c r="E59" s="40" t="str">
        <f>IF(D59="SP","Paulista","Carioca")</f>
        <v>Paulista</v>
      </c>
      <c r="F59" s="40" t="str">
        <f>IF(C59&gt;500000,"Grande","Pequeno")</f>
        <v>Pequeno</v>
      </c>
    </row>
    <row r="60">
      <c r="A60" s="36">
        <v>58</v>
      </c>
      <c r="B60" s="37" t="s">
        <v>107</v>
      </c>
      <c r="C60" s="48">
        <v>179109</v>
      </c>
      <c r="D60" s="39" t="s">
        <v>25</v>
      </c>
      <c r="E60" s="40" t="str">
        <f>IF(D60="SP","Paulista","Carioca")</f>
        <v>Paulista</v>
      </c>
      <c r="F60" s="40" t="str">
        <f>IF(C60&gt;500000,"Grande","Pequeno")</f>
        <v>Pequeno</v>
      </c>
    </row>
    <row r="61">
      <c r="A61" s="36">
        <v>59</v>
      </c>
      <c r="B61" s="37" t="s">
        <v>108</v>
      </c>
      <c r="C61" s="48">
        <v>178310</v>
      </c>
      <c r="D61" s="39" t="s">
        <v>30</v>
      </c>
      <c r="E61" s="40" t="str">
        <f>IF(D61="SP","Paulista","Carioca")</f>
        <v>Carioca</v>
      </c>
      <c r="F61" s="40" t="str">
        <f>IF(C61&gt;500000,"Grande","Pequeno")</f>
        <v>Pequeno</v>
      </c>
    </row>
    <row r="62">
      <c r="A62" s="36">
        <v>60</v>
      </c>
      <c r="B62" s="37" t="s">
        <v>109</v>
      </c>
      <c r="C62" s="48">
        <v>176469</v>
      </c>
      <c r="D62" s="39" t="s">
        <v>30</v>
      </c>
      <c r="E62" s="40" t="str">
        <f>IF(D62="SP","Paulista","Carioca")</f>
        <v>Carioca</v>
      </c>
      <c r="F62" s="40" t="str">
        <f>IF(C62&gt;500000,"Grande","Pequeno")</f>
        <v>Pequeno</v>
      </c>
    </row>
    <row r="63">
      <c r="A63" s="36">
        <v>61</v>
      </c>
      <c r="B63" s="37" t="s">
        <v>110</v>
      </c>
      <c r="C63" s="48">
        <v>175939</v>
      </c>
      <c r="D63" s="39" t="s">
        <v>25</v>
      </c>
      <c r="E63" s="40" t="str">
        <f>IF(D63="SP","Paulista","Carioca")</f>
        <v>Paulista</v>
      </c>
      <c r="F63" s="40" t="str">
        <f>IF(C63&gt;500000,"Grande","Pequeno")</f>
        <v>Pequeno</v>
      </c>
    </row>
    <row r="64">
      <c r="A64" s="36">
        <v>62</v>
      </c>
      <c r="B64" s="37" t="s">
        <v>111</v>
      </c>
      <c r="C64" s="48">
        <v>164191</v>
      </c>
      <c r="D64" s="39" t="s">
        <v>30</v>
      </c>
      <c r="E64" s="40" t="str">
        <f>IF(D64="SP","Paulista","Carioca")</f>
        <v>Carioca</v>
      </c>
      <c r="F64" s="40" t="str">
        <f>IF(C64&gt;500000,"Grande","Pequeno")</f>
        <v>Pequeno</v>
      </c>
    </row>
    <row r="65">
      <c r="A65" s="36">
        <v>63</v>
      </c>
      <c r="B65" s="37" t="s">
        <v>112</v>
      </c>
      <c r="C65" s="48">
        <v>159968</v>
      </c>
      <c r="D65" s="39" t="s">
        <v>30</v>
      </c>
      <c r="E65" s="40" t="str">
        <f>IF(D65="SP","Paulista","Carioca")</f>
        <v>Carioca</v>
      </c>
      <c r="F65" s="40" t="str">
        <f>IF(C65&gt;500000,"Grande","Pequeno")</f>
        <v>Pequeno</v>
      </c>
    </row>
    <row r="66">
      <c r="A66" s="36">
        <v>64</v>
      </c>
      <c r="B66" s="37" t="s">
        <v>113</v>
      </c>
      <c r="C66" s="48">
        <v>159102</v>
      </c>
      <c r="D66" s="39" t="s">
        <v>25</v>
      </c>
      <c r="E66" s="40" t="str">
        <f>IF(D66="SP","Paulista","Carioca")</f>
        <v>Paulista</v>
      </c>
      <c r="F66" s="40" t="str">
        <f>IF(C66&gt;500000,"Grande","Pequeno")</f>
        <v>Pequeno</v>
      </c>
    </row>
    <row r="67">
      <c r="A67" s="36">
        <v>65</v>
      </c>
      <c r="B67" s="37" t="s">
        <v>114</v>
      </c>
      <c r="C67" s="48">
        <v>159005</v>
      </c>
      <c r="D67" s="39" t="s">
        <v>30</v>
      </c>
      <c r="E67" s="40" t="str">
        <f>IF(D67="SP","Paulista","Carioca")</f>
        <v>Carioca</v>
      </c>
      <c r="F67" s="40" t="str">
        <f>IF(C67&gt;500000,"Grande","Pequeno")</f>
        <v>Pequeno</v>
      </c>
    </row>
    <row r="68">
      <c r="A68" s="36">
        <v>66</v>
      </c>
      <c r="B68" s="37" t="s">
        <v>115</v>
      </c>
      <c r="C68" s="48">
        <v>155457</v>
      </c>
      <c r="D68" s="39" t="s">
        <v>25</v>
      </c>
      <c r="E68" s="40" t="str">
        <f>IF(D68="SP","Paulista","Carioca")</f>
        <v>Paulista</v>
      </c>
      <c r="F68" s="40" t="str">
        <f>IF(C68&gt;500000,"Grande","Pequeno")</f>
        <v>Pequeno</v>
      </c>
    </row>
    <row r="69">
      <c r="A69" s="36">
        <v>67</v>
      </c>
      <c r="B69" s="37" t="s">
        <v>116</v>
      </c>
      <c r="C69" s="48">
        <v>155224</v>
      </c>
      <c r="D69" s="39" t="s">
        <v>25</v>
      </c>
      <c r="E69" s="40" t="str">
        <f>IF(D69="SP","Paulista","Carioca")</f>
        <v>Paulista</v>
      </c>
      <c r="F69" s="40" t="str">
        <f>IF(C69&gt;500000,"Grande","Pequeno")</f>
        <v>Pequeno</v>
      </c>
    </row>
    <row r="70">
      <c r="A70" s="36">
        <v>68</v>
      </c>
      <c r="B70" s="37" t="s">
        <v>117</v>
      </c>
      <c r="C70" s="48">
        <v>151103</v>
      </c>
      <c r="D70" s="39" t="s">
        <v>25</v>
      </c>
      <c r="E70" s="40" t="str">
        <f>IF(D70="SP","Paulista","Carioca")</f>
        <v>Paulista</v>
      </c>
      <c r="F70" s="40" t="str">
        <f>IF(C70&gt;500000,"Grande","Pequeno")</f>
        <v>Pequeno</v>
      </c>
    </row>
    <row r="71">
      <c r="A71" s="36">
        <v>69</v>
      </c>
      <c r="B71" s="37" t="s">
        <v>118</v>
      </c>
      <c r="C71" s="48">
        <v>146760</v>
      </c>
      <c r="D71" s="39" t="s">
        <v>25</v>
      </c>
      <c r="E71" s="40" t="str">
        <f>IF(D71="SP","Paulista","Carioca")</f>
        <v>Paulista</v>
      </c>
      <c r="F71" s="40" t="str">
        <f>IF(C71&gt;500000,"Grande","Pequeno")</f>
        <v>Pequeno</v>
      </c>
    </row>
    <row r="72">
      <c r="A72" s="36">
        <v>70</v>
      </c>
      <c r="B72" s="37" t="s">
        <v>119</v>
      </c>
      <c r="C72" s="48">
        <v>144066</v>
      </c>
      <c r="D72" s="39" t="s">
        <v>25</v>
      </c>
      <c r="E72" s="40" t="str">
        <f>IF(D72="SP","Paulista","Carioca")</f>
        <v>Paulista</v>
      </c>
      <c r="F72" s="40" t="str">
        <f>IF(C72&gt;500000,"Grande","Pequeno")</f>
        <v>Pequeno</v>
      </c>
    </row>
    <row r="73">
      <c r="A73" s="36">
        <v>71</v>
      </c>
      <c r="B73" s="37" t="s">
        <v>120</v>
      </c>
      <c r="C73" s="48">
        <v>142997</v>
      </c>
      <c r="D73" s="39" t="s">
        <v>25</v>
      </c>
      <c r="E73" s="40" t="str">
        <f>IF(D73="SP","Paulista","Carioca")</f>
        <v>Paulista</v>
      </c>
      <c r="F73" s="40" t="str">
        <f>IF(C73&gt;500000,"Grande","Pequeno")</f>
        <v>Pequeno</v>
      </c>
    </row>
    <row r="74">
      <c r="A74" s="36">
        <v>72</v>
      </c>
      <c r="B74" s="37" t="s">
        <v>121</v>
      </c>
      <c r="C74" s="48">
        <v>138494</v>
      </c>
      <c r="D74" s="39" t="s">
        <v>25</v>
      </c>
      <c r="E74" s="40" t="str">
        <f>IF(D74="SP","Paulista","Carioca")</f>
        <v>Paulista</v>
      </c>
      <c r="F74" s="40" t="str">
        <f>IF(C74&gt;500000,"Grande","Pequeno")</f>
        <v>Pequeno</v>
      </c>
    </row>
    <row r="75">
      <c r="A75" s="36">
        <v>73</v>
      </c>
      <c r="B75" s="37" t="s">
        <v>122</v>
      </c>
      <c r="C75" s="48">
        <v>137870</v>
      </c>
      <c r="D75" s="39" t="s">
        <v>30</v>
      </c>
      <c r="E75" s="40" t="str">
        <f>IF(D75="SP","Paulista","Carioca")</f>
        <v>Carioca</v>
      </c>
      <c r="F75" s="40" t="str">
        <f>IF(C75&gt;500000,"Grande","Pequeno")</f>
        <v>Pequeno</v>
      </c>
    </row>
    <row r="76">
      <c r="A76" s="36">
        <v>74</v>
      </c>
      <c r="B76" s="37" t="s">
        <v>123</v>
      </c>
      <c r="C76" s="48">
        <v>133469</v>
      </c>
      <c r="D76" s="39" t="s">
        <v>25</v>
      </c>
      <c r="E76" s="40" t="str">
        <f>IF(D76="SP","Paulista","Carioca")</f>
        <v>Paulista</v>
      </c>
      <c r="F76" s="40" t="str">
        <f>IF(C76&gt;500000,"Grande","Pequeno")</f>
        <v>Pequeno</v>
      </c>
    </row>
    <row r="77">
      <c r="A77" s="36">
        <v>75</v>
      </c>
      <c r="B77" s="37" t="s">
        <v>124</v>
      </c>
      <c r="C77" s="48">
        <v>129304</v>
      </c>
      <c r="D77" s="39" t="s">
        <v>25</v>
      </c>
      <c r="E77" s="40" t="str">
        <f>IF(D77="SP","Paulista","Carioca")</f>
        <v>Paulista</v>
      </c>
      <c r="F77" s="40" t="str">
        <f>IF(C77&gt;500000,"Grande","Pequeno")</f>
        <v>Pequeno</v>
      </c>
    </row>
    <row r="78">
      <c r="A78" s="36">
        <v>76</v>
      </c>
      <c r="B78" s="37" t="s">
        <v>125</v>
      </c>
      <c r="C78" s="48">
        <v>128397</v>
      </c>
      <c r="D78" s="39" t="s">
        <v>25</v>
      </c>
      <c r="E78" s="40" t="str">
        <f>IF(D78="SP","Paulista","Carioca")</f>
        <v>Paulista</v>
      </c>
      <c r="F78" s="40" t="str">
        <f>IF(C78&gt;500000,"Grande","Pequeno")</f>
        <v>Pequeno</v>
      </c>
    </row>
    <row r="79">
      <c r="A79" s="36">
        <v>77</v>
      </c>
      <c r="B79" s="37" t="s">
        <v>126</v>
      </c>
      <c r="C79" s="48">
        <v>127763</v>
      </c>
      <c r="D79" s="39" t="s">
        <v>30</v>
      </c>
      <c r="E79" s="40" t="str">
        <f>IF(D79="SP","Paulista","Carioca")</f>
        <v>Carioca</v>
      </c>
      <c r="F79" s="40" t="str">
        <f>IF(C79&gt;500000,"Grande","Pequeno")</f>
        <v>Pequeno</v>
      </c>
    </row>
    <row r="80">
      <c r="A80" s="36">
        <v>78</v>
      </c>
      <c r="B80" s="37" t="s">
        <v>127</v>
      </c>
      <c r="C80" s="48">
        <v>127702</v>
      </c>
      <c r="D80" s="39" t="s">
        <v>25</v>
      </c>
      <c r="E80" s="40" t="str">
        <f>IF(D80="SP","Paulista","Carioca")</f>
        <v>Paulista</v>
      </c>
      <c r="F80" s="40" t="str">
        <f>IF(C80&gt;500000,"Grande","Pequeno")</f>
        <v>Pequeno</v>
      </c>
    </row>
    <row r="81">
      <c r="A81" s="36">
        <v>79</v>
      </c>
      <c r="B81" s="37" t="s">
        <v>128</v>
      </c>
      <c r="C81" s="48">
        <v>125418</v>
      </c>
      <c r="D81" s="39" t="s">
        <v>25</v>
      </c>
      <c r="E81" s="40" t="str">
        <f>IF(D81="SP","Paulista","Carioca")</f>
        <v>Paulista</v>
      </c>
      <c r="F81" s="40" t="str">
        <f>IF(C81&gt;500000,"Grande","Pequeno")</f>
        <v>Pequeno</v>
      </c>
    </row>
    <row r="82">
      <c r="A82" s="36">
        <v>80</v>
      </c>
      <c r="B82" s="37" t="s">
        <v>129</v>
      </c>
      <c r="C82" s="48">
        <v>119231</v>
      </c>
      <c r="D82" s="39" t="s">
        <v>30</v>
      </c>
      <c r="E82" s="40" t="str">
        <f>IF(D82="SP","Paulista","Carioca")</f>
        <v>Carioca</v>
      </c>
      <c r="F82" s="40" t="str">
        <f>IF(C82&gt;500000,"Grande","Pequeno")</f>
        <v>Pequeno</v>
      </c>
    </row>
    <row r="83">
      <c r="A83" s="36">
        <v>81</v>
      </c>
      <c r="B83" s="37" t="s">
        <v>130</v>
      </c>
      <c r="C83" s="48">
        <v>114069</v>
      </c>
      <c r="D83" s="39" t="s">
        <v>25</v>
      </c>
      <c r="E83" s="40" t="str">
        <f>IF(D83="SP","Paulista","Carioca")</f>
        <v>Paulista</v>
      </c>
      <c r="F83" s="40" t="str">
        <f>IF(C83&gt;500000,"Grande","Pequeno")</f>
        <v>Pequeno</v>
      </c>
    </row>
    <row r="84">
      <c r="A84" s="36">
        <v>82</v>
      </c>
      <c r="B84" s="37" t="s">
        <v>131</v>
      </c>
      <c r="C84" s="48">
        <v>113645</v>
      </c>
      <c r="D84" s="39" t="s">
        <v>25</v>
      </c>
      <c r="E84" s="40" t="str">
        <f>IF(D84="SP","Paulista","Carioca")</f>
        <v>Paulista</v>
      </c>
      <c r="F84" s="40" t="str">
        <f>IF(C84&gt;500000,"Grande","Pequeno")</f>
        <v>Pequeno</v>
      </c>
    </row>
    <row r="85">
      <c r="A85" s="36">
        <v>83</v>
      </c>
      <c r="B85" s="37" t="s">
        <v>132</v>
      </c>
      <c r="C85" s="48">
        <v>112804</v>
      </c>
      <c r="D85" s="39" t="s">
        <v>25</v>
      </c>
      <c r="E85" s="40" t="str">
        <f>IF(D85="SP","Paulista","Carioca")</f>
        <v>Paulista</v>
      </c>
      <c r="F85" s="40" t="str">
        <f>IF(C85&gt;500000,"Grande","Pequeno")</f>
        <v>Pequeno</v>
      </c>
    </row>
    <row r="86">
      <c r="A86" s="36">
        <v>84</v>
      </c>
      <c r="B86" s="37" t="s">
        <v>133</v>
      </c>
      <c r="C86" s="48">
        <v>112596</v>
      </c>
      <c r="D86" s="39" t="s">
        <v>25</v>
      </c>
      <c r="E86" s="40" t="str">
        <f>IF(D86="SP","Paulista","Carioca")</f>
        <v>Paulista</v>
      </c>
      <c r="F86" s="40" t="str">
        <f>IF(C86&gt;500000,"Grande","Pequeno")</f>
        <v>Pequeno</v>
      </c>
    </row>
    <row r="87">
      <c r="A87" s="36">
        <v>85</v>
      </c>
      <c r="B87" s="37" t="s">
        <v>134</v>
      </c>
      <c r="C87" s="48">
        <v>111402</v>
      </c>
      <c r="D87" s="39" t="s">
        <v>25</v>
      </c>
      <c r="E87" s="40" t="str">
        <f>IF(D87="SP","Paulista","Carioca")</f>
        <v>Paulista</v>
      </c>
      <c r="F87" s="40" t="str">
        <f>IF(C87&gt;500000,"Grande","Pequeno")</f>
        <v>Pequeno</v>
      </c>
    </row>
    <row r="88">
      <c r="A88" s="36">
        <v>86</v>
      </c>
      <c r="B88" s="37" t="s">
        <v>135</v>
      </c>
      <c r="C88" s="48">
        <v>111016</v>
      </c>
      <c r="D88" s="39" t="s">
        <v>25</v>
      </c>
      <c r="E88" s="40" t="str">
        <f>IF(D88="SP","Paulista","Carioca")</f>
        <v>Paulista</v>
      </c>
      <c r="F88" s="40" t="str">
        <f>IF(C88&gt;500000,"Grande","Pequeno")</f>
        <v>Pequeno</v>
      </c>
    </row>
    <row r="89">
      <c r="A89" s="36">
        <v>87</v>
      </c>
      <c r="B89" s="37" t="s">
        <v>136</v>
      </c>
      <c r="C89" s="48">
        <v>110730</v>
      </c>
      <c r="D89" s="39" t="s">
        <v>25</v>
      </c>
      <c r="E89" s="40" t="str">
        <f>IF(D89="SP","Paulista","Carioca")</f>
        <v>Paulista</v>
      </c>
      <c r="F89" s="40" t="str">
        <f>IF(C89&gt;500000,"Grande","Pequeno")</f>
        <v>Pequeno</v>
      </c>
    </row>
    <row r="90">
      <c r="A90" s="36">
        <v>88</v>
      </c>
      <c r="B90" s="37" t="s">
        <v>137</v>
      </c>
      <c r="C90" s="48">
        <v>110325</v>
      </c>
      <c r="D90" s="39" t="s">
        <v>25</v>
      </c>
      <c r="E90" s="40" t="str">
        <f>IF(D90="SP","Paulista","Carioca")</f>
        <v>Paulista</v>
      </c>
      <c r="F90" s="40" t="str">
        <f>IF(C90&gt;500000,"Grande","Pequeno")</f>
        <v>Pequeno</v>
      </c>
    </row>
    <row r="91">
      <c r="A91" s="36">
        <v>89</v>
      </c>
      <c r="B91" s="37" t="s">
        <v>138</v>
      </c>
      <c r="C91" s="48">
        <v>107285</v>
      </c>
      <c r="D91" s="39" t="s">
        <v>30</v>
      </c>
      <c r="E91" s="40" t="str">
        <f>IF(D91="SP","Paulista","Carioca")</f>
        <v>Carioca</v>
      </c>
      <c r="F91" s="40" t="str">
        <f>IF(C91&gt;500000,"Grande","Pequeno")</f>
        <v>Pequeno</v>
      </c>
    </row>
    <row r="92">
      <c r="A92" s="36">
        <v>90</v>
      </c>
      <c r="B92" s="37" t="s">
        <v>139</v>
      </c>
      <c r="C92" s="48">
        <v>103515</v>
      </c>
      <c r="D92" s="39" t="s">
        <v>30</v>
      </c>
      <c r="E92" s="40" t="str">
        <f>IF(D92="SP","Paulista","Carioca")</f>
        <v>Carioca</v>
      </c>
      <c r="F92" s="40" t="str">
        <f>IF(C92&gt;500000,"Grande","Pequeno")</f>
        <v>Pequeno</v>
      </c>
    </row>
    <row r="93">
      <c r="A93" s="36">
        <v>91</v>
      </c>
      <c r="B93" s="37" t="s">
        <v>140</v>
      </c>
      <c r="C93" s="48">
        <v>102487</v>
      </c>
      <c r="D93" s="39" t="s">
        <v>30</v>
      </c>
      <c r="E93" s="40" t="str">
        <f>IF(D93="SP","Paulista","Carioca")</f>
        <v>Carioca</v>
      </c>
      <c r="F93" s="40" t="str">
        <f>IF(C93&gt;500000,"Grande","Pequeno")</f>
        <v>Pequeno</v>
      </c>
    </row>
    <row r="94">
      <c r="A94" s="36">
        <v>92</v>
      </c>
      <c r="B94" s="37" t="s">
        <v>141</v>
      </c>
      <c r="C94" s="48">
        <v>100055</v>
      </c>
      <c r="D94" s="39" t="s">
        <v>30</v>
      </c>
      <c r="E94" s="40" t="str">
        <f>IF(D94="SP","Paulista","Carioca")</f>
        <v>Carioca</v>
      </c>
      <c r="F94" s="40" t="str">
        <f>IF(C94&gt;500000,"Grande","Pequeno")</f>
        <v>Pequeno</v>
      </c>
    </row>
    <row r="95">
      <c r="A95" s="36">
        <v>93</v>
      </c>
      <c r="B95" s="37" t="s">
        <v>142</v>
      </c>
      <c r="C95" s="48">
        <v>98347</v>
      </c>
      <c r="D95" s="39" t="s">
        <v>30</v>
      </c>
      <c r="E95" s="40" t="str">
        <f>IF(D95="SP","Paulista","Carioca")</f>
        <v>Carioca</v>
      </c>
      <c r="F95" s="40" t="str">
        <f>IF(C95&gt;500000,"Grande","Pequeno")</f>
        <v>Pequeno</v>
      </c>
    </row>
    <row r="96">
      <c r="A96" s="36">
        <v>94</v>
      </c>
      <c r="B96" s="37" t="s">
        <v>143</v>
      </c>
      <c r="C96" s="48">
        <v>91085</v>
      </c>
      <c r="D96" s="39" t="s">
        <v>30</v>
      </c>
      <c r="E96" s="40" t="str">
        <f>IF(D96="SP","Paulista","Carioca")</f>
        <v>Carioca</v>
      </c>
      <c r="F96" s="40" t="str">
        <f>IF(C96&gt;500000,"Grande","Pequeno")</f>
        <v>Pequeno</v>
      </c>
    </row>
    <row r="97">
      <c r="A97" s="36">
        <v>95</v>
      </c>
      <c r="B97" s="37" t="s">
        <v>144</v>
      </c>
      <c r="C97" s="48">
        <v>82951</v>
      </c>
      <c r="D97" s="39" t="s">
        <v>30</v>
      </c>
      <c r="E97" s="40" t="str">
        <f>IF(D97="SP","Paulista","Carioca")</f>
        <v>Carioca</v>
      </c>
      <c r="F97" s="40" t="str">
        <f>IF(C97&gt;500000,"Grande","Pequeno")</f>
        <v>Pequeno</v>
      </c>
    </row>
    <row r="98">
      <c r="A98" s="36">
        <v>96</v>
      </c>
      <c r="B98" s="37" t="s">
        <v>145</v>
      </c>
      <c r="C98" s="48">
        <v>77618</v>
      </c>
      <c r="D98" s="39" t="s">
        <v>30</v>
      </c>
      <c r="E98" s="40" t="str">
        <f>IF(D98="SP","Paulista","Carioca")</f>
        <v>Carioca</v>
      </c>
      <c r="F98" s="40" t="str">
        <f>IF(C98&gt;500000,"Grande","Pequeno")</f>
        <v>Pequeno</v>
      </c>
    </row>
    <row r="99">
      <c r="A99" s="36">
        <v>97</v>
      </c>
      <c r="B99" s="37" t="s">
        <v>146</v>
      </c>
      <c r="C99" s="48">
        <v>75754</v>
      </c>
      <c r="D99" s="39" t="s">
        <v>30</v>
      </c>
      <c r="E99" s="40" t="str">
        <f>IF(D99="SP","Paulista","Carioca")</f>
        <v>Carioca</v>
      </c>
      <c r="F99" s="40" t="str">
        <f>IF(C99&gt;500000,"Grande","Pequeno")</f>
        <v>Pequeno</v>
      </c>
    </row>
    <row r="100">
      <c r="A100" s="36">
        <v>98</v>
      </c>
      <c r="B100" s="37" t="s">
        <v>147</v>
      </c>
      <c r="C100" s="48">
        <v>74993</v>
      </c>
      <c r="D100" s="39" t="s">
        <v>30</v>
      </c>
      <c r="E100" s="40" t="str">
        <f>IF(D100="SP","Paulista","Carioca")</f>
        <v>Carioca</v>
      </c>
      <c r="F100" s="40" t="str">
        <f>IF(C100&gt;500000,"Grande","Pequeno")</f>
        <v>Pequeno</v>
      </c>
    </row>
    <row r="101">
      <c r="A101" s="36">
        <v>99</v>
      </c>
      <c r="B101" s="37" t="s">
        <v>148</v>
      </c>
      <c r="C101" s="48">
        <v>67853</v>
      </c>
      <c r="D101" s="39" t="s">
        <v>30</v>
      </c>
      <c r="E101" s="40" t="str">
        <f>IF(D101="SP","Paulista","Carioca")</f>
        <v>Carioca</v>
      </c>
      <c r="F101" s="40" t="str">
        <f>IF(C101&gt;500000,"Grande","Pequeno")</f>
        <v>Pequeno</v>
      </c>
    </row>
    <row r="102">
      <c r="A102" s="36">
        <v>100</v>
      </c>
      <c r="B102" s="37" t="s">
        <v>149</v>
      </c>
      <c r="C102" s="48">
        <v>56529</v>
      </c>
      <c r="D102" s="39" t="s">
        <v>30</v>
      </c>
      <c r="E102" s="40" t="str">
        <f>IF(D102="SP","Paulista","Carioca")</f>
        <v>Carioca</v>
      </c>
      <c r="F102" s="40" t="str">
        <f>IF(C102&gt;500000,"Grande","Pequeno")</f>
        <v>Pequeno</v>
      </c>
    </row>
    <row r="103">
      <c r="A103" s="36">
        <v>101</v>
      </c>
      <c r="B103" s="37" t="s">
        <v>150</v>
      </c>
      <c r="C103" s="48">
        <v>54596</v>
      </c>
      <c r="D103" s="39" t="s">
        <v>30</v>
      </c>
      <c r="E103" s="40" t="str">
        <f>IF(D103="SP","Paulista","Carioca")</f>
        <v>Carioca</v>
      </c>
      <c r="F103" s="40" t="str">
        <f>IF(C103&gt;500000,"Grande","Pequeno")</f>
        <v>Pequeno</v>
      </c>
    </row>
    <row r="104">
      <c r="A104" s="36">
        <v>102</v>
      </c>
      <c r="B104" s="37" t="s">
        <v>151</v>
      </c>
      <c r="C104" s="48">
        <v>48688</v>
      </c>
      <c r="D104" s="39" t="s">
        <v>30</v>
      </c>
      <c r="E104" s="40" t="str">
        <f>IF(D104="SP","Paulista","Carioca")</f>
        <v>Carioca</v>
      </c>
      <c r="F104" s="40" t="str">
        <f>IF(C104&gt;500000,"Grande","Pequeno")</f>
        <v>Pequeno</v>
      </c>
    </row>
    <row r="105">
      <c r="A105" s="36">
        <v>103</v>
      </c>
      <c r="B105" s="37" t="s">
        <v>152</v>
      </c>
      <c r="C105" s="48">
        <v>47247</v>
      </c>
      <c r="D105" s="39" t="s">
        <v>30</v>
      </c>
      <c r="E105" s="40" t="str">
        <f>IF(D105="SP","Paulista","Carioca")</f>
        <v>Carioca</v>
      </c>
      <c r="F105" s="40" t="str">
        <f>IF(C105&gt;500000,"Grande","Pequeno")</f>
        <v>Pequeno</v>
      </c>
    </row>
    <row r="106">
      <c r="A106" s="36">
        <v>104</v>
      </c>
      <c r="B106" s="37" t="s">
        <v>153</v>
      </c>
      <c r="C106" s="48">
        <v>44629</v>
      </c>
      <c r="D106" s="39" t="s">
        <v>30</v>
      </c>
      <c r="E106" s="40" t="str">
        <f>IF(D106="SP","Paulista","Carioca")</f>
        <v>Carioca</v>
      </c>
      <c r="F106" s="40" t="str">
        <f>IF(C106&gt;500000,"Grande","Pequeno")</f>
        <v>Pequeno</v>
      </c>
    </row>
    <row r="107">
      <c r="A107" s="36">
        <v>105</v>
      </c>
      <c r="B107" s="37" t="s">
        <v>154</v>
      </c>
      <c r="C107" s="48">
        <v>42093</v>
      </c>
      <c r="D107" s="39" t="s">
        <v>30</v>
      </c>
      <c r="E107" s="40" t="str">
        <f>IF(D107="SP","Paulista","Carioca")</f>
        <v>Carioca</v>
      </c>
      <c r="F107" s="40" t="str">
        <f>IF(C107&gt;500000,"Grande","Pequeno")</f>
        <v>Pequeno</v>
      </c>
    </row>
    <row r="108">
      <c r="A108" s="36">
        <v>106</v>
      </c>
      <c r="B108" s="37" t="s">
        <v>155</v>
      </c>
      <c r="C108" s="48">
        <v>41315</v>
      </c>
      <c r="D108" s="39" t="s">
        <v>30</v>
      </c>
      <c r="E108" s="40" t="str">
        <f>IF(D108="SP","Paulista","Carioca")</f>
        <v>Carioca</v>
      </c>
      <c r="F108" s="40" t="str">
        <f>IF(C108&gt;500000,"Grande","Pequeno")</f>
        <v>Pequeno</v>
      </c>
    </row>
    <row r="109">
      <c r="A109" s="36">
        <v>107</v>
      </c>
      <c r="B109" s="37" t="s">
        <v>156</v>
      </c>
      <c r="C109" s="48">
        <v>39057</v>
      </c>
      <c r="D109" s="39" t="s">
        <v>30</v>
      </c>
      <c r="E109" s="40" t="str">
        <f>IF(D109="SP","Paulista","Carioca")</f>
        <v>Carioca</v>
      </c>
      <c r="F109" s="40" t="str">
        <f>IF(C109&gt;500000,"Grande","Pequeno")</f>
        <v>Pequeno</v>
      </c>
    </row>
    <row r="110">
      <c r="A110" s="36">
        <v>108</v>
      </c>
      <c r="B110" s="37" t="s">
        <v>157</v>
      </c>
      <c r="C110" s="48">
        <v>35182</v>
      </c>
      <c r="D110" s="39" t="s">
        <v>30</v>
      </c>
      <c r="E110" s="40" t="str">
        <f>IF(D110="SP","Paulista","Carioca")</f>
        <v>Carioca</v>
      </c>
      <c r="F110" s="40" t="str">
        <f>IF(C110&gt;500000,"Grande","Pequeno")</f>
        <v>Pequeno</v>
      </c>
    </row>
    <row r="111">
      <c r="A111" s="36">
        <v>109</v>
      </c>
      <c r="B111" s="37" t="s">
        <v>158</v>
      </c>
      <c r="C111" s="48">
        <v>35178</v>
      </c>
      <c r="D111" s="39" t="s">
        <v>30</v>
      </c>
      <c r="E111" s="40" t="str">
        <f>IF(D111="SP","Paulista","Carioca")</f>
        <v>Carioca</v>
      </c>
      <c r="F111" s="40" t="str">
        <f>IF(C111&gt;500000,"Grande","Pequeno")</f>
        <v>Pequeno</v>
      </c>
    </row>
    <row r="112">
      <c r="A112" s="36">
        <v>110</v>
      </c>
      <c r="B112" s="37" t="s">
        <v>159</v>
      </c>
      <c r="C112" s="48">
        <v>34595</v>
      </c>
      <c r="D112" s="39" t="s">
        <v>30</v>
      </c>
      <c r="E112" s="40" t="str">
        <f>IF(D112="SP","Paulista","Carioca")</f>
        <v>Carioca</v>
      </c>
      <c r="F112" s="40" t="str">
        <f>IF(C112&gt;500000,"Grande","Pequeno")</f>
        <v>Pequeno</v>
      </c>
    </row>
    <row r="113">
      <c r="A113" s="36">
        <v>111</v>
      </c>
      <c r="B113" s="37" t="s">
        <v>160</v>
      </c>
      <c r="C113" s="48">
        <v>34024</v>
      </c>
      <c r="D113" s="39" t="s">
        <v>30</v>
      </c>
      <c r="E113" s="40" t="str">
        <f>IF(D113="SP","Paulista","Carioca")</f>
        <v>Carioca</v>
      </c>
      <c r="F113" s="40" t="str">
        <f>IF(C113&gt;500000,"Grande","Pequeno")</f>
        <v>Pequeno</v>
      </c>
    </row>
    <row r="114">
      <c r="A114" s="36">
        <v>112</v>
      </c>
      <c r="B114" s="37" t="s">
        <v>161</v>
      </c>
      <c r="C114" s="48">
        <v>31848</v>
      </c>
      <c r="D114" s="39" t="s">
        <v>30</v>
      </c>
      <c r="E114" s="40" t="str">
        <f>IF(D114="SP","Paulista","Carioca")</f>
        <v>Carioca</v>
      </c>
      <c r="F114" s="40" t="str">
        <f>IF(C114&gt;500000,"Grande","Pequeno")</f>
        <v>Pequeno</v>
      </c>
    </row>
    <row r="115">
      <c r="A115" s="36">
        <v>113</v>
      </c>
      <c r="B115" s="37" t="s">
        <v>162</v>
      </c>
      <c r="C115" s="48">
        <v>30348</v>
      </c>
      <c r="D115" s="39" t="s">
        <v>30</v>
      </c>
      <c r="E115" s="40" t="str">
        <f>IF(D115="SP","Paulista","Carioca")</f>
        <v>Carioca</v>
      </c>
      <c r="F115" s="40" t="str">
        <f>IF(C115&gt;500000,"Grande","Pequeno")</f>
        <v>Pequeno</v>
      </c>
    </row>
    <row r="116">
      <c r="A116" s="36">
        <v>114</v>
      </c>
      <c r="B116" s="37" t="s">
        <v>163</v>
      </c>
      <c r="C116" s="48">
        <v>30139</v>
      </c>
      <c r="D116" s="39" t="s">
        <v>30</v>
      </c>
      <c r="E116" s="40" t="str">
        <f>IF(D116="SP","Paulista","Carioca")</f>
        <v>Carioca</v>
      </c>
      <c r="F116" s="40" t="str">
        <f>IF(C116&gt;500000,"Grande","Pequeno")</f>
        <v>Pequeno</v>
      </c>
    </row>
  </sheetData>
  <mergeCells count="1">
    <mergeCell ref="A1:F1"/>
  </mergeCells>
  <conditionalFormatting sqref="C3:C116">
    <cfRule type="iconSet" priority="1">
      <iconSet iconSet="3TrafficLights1">
        <cfvo type="percent" val="0"/>
        <cfvo type="num" val="500000"/>
        <cfvo type="num" val="1000000"/>
      </iconSet>
    </cfRule>
  </conditionalFormatting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id="{007800B3-0043-47C2-AC9F-00F1002B008B}">
            <xm:f>NOT(ISERROR(SEARCH("SP",D3)))</xm:f>
            <xm:f>"SP"</xm:f>
            <x14:dxf>
              <font>
                <b/>
                <color theme="5" tint="-0.249977111117893"/>
              </font>
              <fill>
                <patternFill patternType="solid">
                  <fgColor rgb="FFF8CBAC"/>
                  <bgColor rgb="FFF8CBAC"/>
                </patternFill>
              </fill>
            </x14:dxf>
          </x14:cfRule>
          <xm:sqref>D3:D116</xm:sqref>
        </x14:conditionalFormatting>
        <x14:conditionalFormatting xmlns:xm="http://schemas.microsoft.com/office/excel/2006/main">
          <x14:cfRule type="containsText" priority="4" id="{007B00D8-0039-4261-A5B7-008900D1001A}">
            <xm:f>NOT(ISERROR(SEARCH("RJ",D3)))</xm:f>
            <xm:f>"RJ"</xm:f>
            <x14:dxf>
              <font>
                <color theme="4" tint="0.59999389629810485"/>
              </font>
              <fill>
                <patternFill patternType="solid">
                  <fgColor rgb="FF2E75B6"/>
                  <bgColor rgb="FF2E75B6"/>
                </patternFill>
              </fill>
            </x14:dxf>
          </x14:cfRule>
          <xm:sqref>D3:D116</xm:sqref>
        </x14:conditionalFormatting>
        <x14:conditionalFormatting xmlns:xm="http://schemas.microsoft.com/office/excel/2006/main">
          <x14:cfRule type="dataBar" priority="2" id="{008200A7-00BC-47C8-A91D-009D00550040}">
            <x14:dataBar maxLength="100" minLength="0" axisPosition="automatic" direction="context" gradient="0" negativeBarBorderColorSameAsPositive="0">
              <x14:cfvo type="autoMin"/>
              <x14:cfvo type="autoMax"/>
              <x14:fillColor rgb="FF63C384"/>
              <x14:negativeFillColor indexed="2"/>
              <x14:axisColor indexed="64"/>
            </x14:dataBar>
          </x14:cfRule>
          <xm:sqref>C3:C116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2025-11-12T22:38:42Z</dcterms:modified>
</cp:coreProperties>
</file>